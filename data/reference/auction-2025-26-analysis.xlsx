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804d50a92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tti" sheetId="1" r:id="Rfed53a16e45b4a59"/>
    <x:sheet xmlns:r="http://schemas.openxmlformats.org/officeDocument/2006/relationships" name="Portieri" sheetId="2" r:id="R441dd20ed49249cf"/>
    <x:sheet xmlns:r="http://schemas.openxmlformats.org/officeDocument/2006/relationships" name="Difensori" sheetId="3" r:id="R89164ab9d24c4515"/>
    <x:sheet xmlns:r="http://schemas.openxmlformats.org/officeDocument/2006/relationships" name="Centrocampisti" sheetId="4" r:id="R820fc0ef00854c85"/>
    <x:sheet xmlns:r="http://schemas.openxmlformats.org/officeDocument/2006/relationships" name="Attaccanti" sheetId="5" r:id="R7b1faa23253f49ca"/>
    <x:sheet xmlns:r="http://schemas.openxmlformats.org/officeDocument/2006/relationships" name="CREDITI RESIDUI" sheetId="6" r:id="Rd0b86c0a6571400c"/>
    <x:sheet xmlns:r="http://schemas.openxmlformats.org/officeDocument/2006/relationships" name="Foglio3" sheetId="7" r:id="R1496c3959fa64828"/>
    <x:sheet xmlns:r="http://schemas.openxmlformats.org/officeDocument/2006/relationships" name="Foglio2" sheetId="8" r:id="Rc83e7268190943c6"/>
    <x:sheet xmlns:r="http://schemas.openxmlformats.org/officeDocument/2006/relationships" name="Ceduti" sheetId="9" r:id="R2a6543e93d2f4cdc"/>
    <x:sheet xmlns:r="http://schemas.openxmlformats.org/officeDocument/2006/relationships" name="Analisi Mercato" sheetId="10" r:id="R24ad56ad73594d82"/>
    <x:sheet xmlns:r="http://schemas.openxmlformats.org/officeDocument/2006/relationships" name="Transazioni Asta" sheetId="11" r:id="R0f1cb47e67c54ae6"/>
    <x:sheet xmlns:r="http://schemas.openxmlformats.org/officeDocument/2006/relationships" name="Parametri Modello" sheetId="12" r:id="R76ae1287447b4e92"/>
  </x:sheets>
</x:workbook>
</file>

<file path=xl/sharedStrings.xml><?xml version="1.0" encoding="utf-8"?>
<x:sst xmlns:x="http://schemas.openxmlformats.org/spreadsheetml/2006/main">
  <x:si>
    <x:t xml:space="preserve">Quotazioni Fantacalcio Stagione 2025 26</x:t>
  </x:si>
  <x:si>
    <x:t xml:space="preserve">Id</x:t>
  </x:si>
  <x:si>
    <x:t xml:space="preserve">R</x:t>
  </x:si>
  <x:si>
    <x:t xml:space="preserve">RM</x:t>
  </x:si>
  <x:si>
    <x:t xml:space="preserve">Nome</x:t>
  </x:si>
  <x:si>
    <x:t xml:space="preserve">Squadra</x:t>
  </x:si>
  <x:si>
    <x:t xml:space="preserve">Qt.A</x:t>
  </x:si>
  <x:si>
    <x:t xml:space="preserve">Qt.I</x:t>
  </x:si>
  <x:si>
    <x:t xml:space="preserve">Diff.</x:t>
  </x:si>
  <x:si>
    <x:t xml:space="preserve">Qt.A M</x:t>
  </x:si>
  <x:si>
    <x:t xml:space="preserve">Qt.I M</x:t>
  </x:si>
  <x:si>
    <x:t xml:space="preserve">Diff.M</x:t>
  </x:si>
  <x:si>
    <x:t xml:space="preserve">FVM</x:t>
  </x:si>
  <x:si>
    <x:t xml:space="preserve">FVM M</x:t>
  </x:si>
  <x:si>
    <x:t xml:space="preserve">P</x:t>
  </x:si>
  <x:si>
    <x:t xml:space="preserve">Por</x:t>
  </x:si>
  <x:si>
    <x:t xml:space="preserve">Di Gregorio</x:t>
  </x:si>
  <x:si>
    <x:t xml:space="preserve">Juventus</x:t>
  </x:si>
  <x:si>
    <x:t xml:space="preserve">Sommer</x:t>
  </x:si>
  <x:si>
    <x:t xml:space="preserve">Inter</x:t>
  </x:si>
  <x:si>
    <x:t xml:space="preserve">Maignan</x:t>
  </x:si>
  <x:si>
    <x:t xml:space="preserve">Milan</x:t>
  </x:si>
  <x:si>
    <x:t xml:space="preserve">Meret</x:t>
  </x:si>
  <x:si>
    <x:t xml:space="preserve">Napoli</x:t>
  </x:si>
  <x:si>
    <x:t xml:space="preserve">Svilar</x:t>
  </x:si>
  <x:si>
    <x:t xml:space="preserve">Roma</x:t>
  </x:si>
  <x:si>
    <x:t xml:space="preserve">Carnesecchi</x:t>
  </x:si>
  <x:si>
    <x:t xml:space="preserve">Atalanta</x:t>
  </x:si>
  <x:si>
    <x:t xml:space="preserve">De Gea</x:t>
  </x:si>
  <x:si>
    <x:t xml:space="preserve">Fiorentina</x:t>
  </x:si>
  <x:si>
    <x:t xml:space="preserve">Provedel</x:t>
  </x:si>
  <x:si>
    <x:t xml:space="preserve">Lazio</x:t>
  </x:si>
  <x:si>
    <x:t xml:space="preserve">Skorupski</x:t>
  </x:si>
  <x:si>
    <x:t xml:space="preserve">Bologna</x:t>
  </x:si>
  <x:si>
    <x:t xml:space="preserve">Butez</x:t>
  </x:si>
  <x:si>
    <x:t xml:space="preserve">Como</x:t>
  </x:si>
  <x:si>
    <x:t xml:space="preserve">Leali</x:t>
  </x:si>
  <x:si>
    <x:t xml:space="preserve">Genoa</x:t>
  </x:si>
  <x:si>
    <x:t xml:space="preserve">Caprile</x:t>
  </x:si>
  <x:si>
    <x:t xml:space="preserve">Cagliari</x:t>
  </x:si>
  <x:si>
    <x:t xml:space="preserve">Israel</x:t>
  </x:si>
  <x:si>
    <x:t xml:space="preserve">Torino</x:t>
  </x:si>
  <x:si>
    <x:t xml:space="preserve">Falcone</x:t>
  </x:si>
  <x:si>
    <x:t xml:space="preserve">Lecce</x:t>
  </x:si>
  <x:si>
    <x:t xml:space="preserve">Suzuki</x:t>
  </x:si>
  <x:si>
    <x:t xml:space="preserve">Parma</x:t>
  </x:si>
  <x:si>
    <x:t xml:space="preserve">Audero</x:t>
  </x:si>
  <x:si>
    <x:t xml:space="preserve">Cremonese</x:t>
  </x:si>
  <x:si>
    <x:t xml:space="preserve">Turati</x:t>
  </x:si>
  <x:si>
    <x:t xml:space="preserve">Sassuolo</x:t>
  </x:si>
  <x:si>
    <x:t xml:space="preserve">Okoye</x:t>
  </x:si>
  <x:si>
    <x:t xml:space="preserve">Udinese</x:t>
  </x:si>
  <x:si>
    <x:t xml:space="preserve">Sava</x:t>
  </x:si>
  <x:si>
    <x:t xml:space="preserve">Milinkovic-Savic V.</x:t>
  </x:si>
  <x:si>
    <x:t xml:space="preserve">Semper</x:t>
  </x:si>
  <x:si>
    <x:t xml:space="preserve">Pisa</x:t>
  </x:si>
  <x:si>
    <x:t xml:space="preserve">Montipò</x:t>
  </x:si>
  <x:si>
    <x:t xml:space="preserve">Verona</x:t>
  </x:si>
  <x:si>
    <x:t xml:space="preserve">Ravaglia F.</x:t>
  </x:si>
  <x:si>
    <x:t xml:space="preserve">Mandas</x:t>
  </x:si>
  <x:si>
    <x:t xml:space="preserve">Scuffet</x:t>
  </x:si>
  <x:si>
    <x:t xml:space="preserve">Muric</x:t>
  </x:si>
  <x:si>
    <x:t xml:space="preserve">Martinez Jo.</x:t>
  </x:si>
  <x:si>
    <x:t xml:space="preserve">Rossi F.</x:t>
  </x:si>
  <x:si>
    <x:t xml:space="preserve">Sportiello</x:t>
  </x:si>
  <x:si>
    <x:t xml:space="preserve">Pessina Mas.</x:t>
  </x:si>
  <x:si>
    <x:t xml:space="preserve">Ciocci</x:t>
  </x:si>
  <x:si>
    <x:t xml:space="preserve">Radunovic</x:t>
  </x:si>
  <x:si>
    <x:t xml:space="preserve">Vigorito</x:t>
  </x:si>
  <x:si>
    <x:t xml:space="preserve">Nava</x:t>
  </x:si>
  <x:si>
    <x:t xml:space="preserve">Martinelli T.</x:t>
  </x:si>
  <x:si>
    <x:t xml:space="preserve">Siegrist</x:t>
  </x:si>
  <x:si>
    <x:t xml:space="preserve">Sommariva</x:t>
  </x:si>
  <x:si>
    <x:t xml:space="preserve">Di Gennaro</x:t>
  </x:si>
  <x:si>
    <x:t xml:space="preserve">Perin</x:t>
  </x:si>
  <x:si>
    <x:t xml:space="preserve">Pinsoglio</x:t>
  </x:si>
  <x:si>
    <x:t xml:space="preserve">Furlanetto</x:t>
  </x:si>
  <x:si>
    <x:t xml:space="preserve">Fruchtl</x:t>
  </x:si>
  <x:si>
    <x:t xml:space="preserve">Samooja</x:t>
  </x:si>
  <x:si>
    <x:t xml:space="preserve">Terracciano</x:t>
  </x:si>
  <x:si>
    <x:t xml:space="preserve">Torriani</x:t>
  </x:si>
  <x:si>
    <x:t xml:space="preserve">Contini</x:t>
  </x:si>
  <x:si>
    <x:t xml:space="preserve">Corvi</x:t>
  </x:si>
  <x:si>
    <x:t xml:space="preserve">Rinaldi</x:t>
  </x:si>
  <x:si>
    <x:t xml:space="preserve">Nicolas</x:t>
  </x:si>
  <x:si>
    <x:t xml:space="preserve">Zelezny</x:t>
  </x:si>
  <x:si>
    <x:t xml:space="preserve">Gollini</x:t>
  </x:si>
  <x:si>
    <x:t xml:space="preserve">Satalino</x:t>
  </x:si>
  <x:si>
    <x:t xml:space="preserve">Paleari</x:t>
  </x:si>
  <x:si>
    <x:t xml:space="preserve">Popa</x:t>
  </x:si>
  <x:si>
    <x:t xml:space="preserve">Padelli</x:t>
  </x:si>
  <x:si>
    <x:t xml:space="preserve">Perilli</x:t>
  </x:si>
  <x:si>
    <x:t xml:space="preserve">Vasquez D.</x:t>
  </x:si>
  <x:si>
    <x:t xml:space="preserve">Nunziante</x:t>
  </x:si>
  <x:si>
    <x:t xml:space="preserve">Lezzerini</x:t>
  </x:si>
  <x:si>
    <x:t xml:space="preserve">Silvestri</x:t>
  </x:si>
  <x:si>
    <x:t xml:space="preserve">Toniolo</x:t>
  </x:si>
  <x:si>
    <x:t xml:space="preserve">Cavlina</x:t>
  </x:si>
  <x:si>
    <x:t xml:space="preserve">D</x:t>
  </x:si>
  <x:si>
    <x:t xml:space="preserve">E</x:t>
  </x:si>
  <x:si>
    <x:t xml:space="preserve">Dumfries</x:t>
  </x:si>
  <x:si>
    <x:t xml:space="preserve">Dimarco</x:t>
  </x:si>
  <x:si>
    <x:t xml:space="preserve">Gosens</x:t>
  </x:si>
  <x:si>
    <x:t xml:space="preserve">Dc</x:t>
  </x:si>
  <x:si>
    <x:t xml:space="preserve">Bastoni</x:t>
  </x:si>
  <x:si>
    <x:t xml:space="preserve">Zortea</x:t>
  </x:si>
  <x:si>
    <x:t xml:space="preserve">Angelino</x:t>
  </x:si>
  <x:si>
    <x:t xml:space="preserve">Wesley</x:t>
  </x:si>
  <x:si>
    <x:t xml:space="preserve">Cambiaso</x:t>
  </x:si>
  <x:si>
    <x:t xml:space="preserve">Dd;E</x:t>
  </x:si>
  <x:si>
    <x:t xml:space="preserve">Di Lorenzo</x:t>
  </x:si>
  <x:si>
    <x:t xml:space="preserve">Bellanova</x:t>
  </x:si>
  <x:si>
    <x:t xml:space="preserve">Zappacosta</x:t>
  </x:si>
  <x:si>
    <x:t xml:space="preserve">Bremer</x:t>
  </x:si>
  <x:si>
    <x:t xml:space="preserve">Buongiorno</x:t>
  </x:si>
  <x:si>
    <x:t xml:space="preserve">Dodò</x:t>
  </x:si>
  <x:si>
    <x:t xml:space="preserve">Ds;E</x:t>
  </x:si>
  <x:si>
    <x:t xml:space="preserve">Tavares N.</x:t>
  </x:si>
  <x:si>
    <x:t xml:space="preserve">Estupinan</x:t>
  </x:si>
  <x:si>
    <x:t xml:space="preserve">Rrahmani</x:t>
  </x:si>
  <x:si>
    <x:t xml:space="preserve">Mancini</x:t>
  </x:si>
  <x:si>
    <x:t xml:space="preserve">N'Dicka</x:t>
  </x:si>
  <x:si>
    <x:t xml:space="preserve">Solet</x:t>
  </x:si>
  <x:si>
    <x:t xml:space="preserve">Hien</x:t>
  </x:si>
  <x:si>
    <x:t xml:space="preserve">Ds;Dc</x:t>
  </x:si>
  <x:si>
    <x:t xml:space="preserve">Vasquez</x:t>
  </x:si>
  <x:si>
    <x:t xml:space="preserve">Martin</x:t>
  </x:si>
  <x:si>
    <x:t xml:space="preserve">B;Ds;E</x:t>
  </x:si>
  <x:si>
    <x:t xml:space="preserve">Carlos Augusto</x:t>
  </x:si>
  <x:si>
    <x:t xml:space="preserve">Olivera</x:t>
  </x:si>
  <x:si>
    <x:t xml:space="preserve">Valeri</x:t>
  </x:si>
  <x:si>
    <x:t xml:space="preserve">Luperto</x:t>
  </x:si>
  <x:si>
    <x:t xml:space="preserve">Acerbi</x:t>
  </x:si>
  <x:si>
    <x:t xml:space="preserve">Dd;Dc</x:t>
  </x:si>
  <x:si>
    <x:t xml:space="preserve">Kalulu</x:t>
  </x:si>
  <x:si>
    <x:t xml:space="preserve">Gila</x:t>
  </x:si>
  <x:si>
    <x:t xml:space="preserve">Baschirotto</x:t>
  </x:si>
  <x:si>
    <x:t xml:space="preserve">Pavlovic</x:t>
  </x:si>
  <x:si>
    <x:t xml:space="preserve">Beukema</x:t>
  </x:si>
  <x:si>
    <x:t xml:space="preserve">B;Dd;E</x:t>
  </x:si>
  <x:si>
    <x:t xml:space="preserve">Delprato</x:t>
  </x:si>
  <x:si>
    <x:t xml:space="preserve">Akanji</x:t>
  </x:si>
  <x:si>
    <x:t xml:space="preserve">Djimsiti</x:t>
  </x:si>
  <x:si>
    <x:t xml:space="preserve">Scalvini</x:t>
  </x:si>
  <x:si>
    <x:t xml:space="preserve">Kossounou</x:t>
  </x:si>
  <x:si>
    <x:t xml:space="preserve">Lucumì</x:t>
  </x:si>
  <x:si>
    <x:t xml:space="preserve">Vitik</x:t>
  </x:si>
  <x:si>
    <x:t xml:space="preserve">Miranda J.</x:t>
  </x:si>
  <x:si>
    <x:t xml:space="preserve">Comuzzo</x:t>
  </x:si>
  <x:si>
    <x:t xml:space="preserve">Ranieri L.</x:t>
  </x:si>
  <x:si>
    <x:t xml:space="preserve">Bisseck</x:t>
  </x:si>
  <x:si>
    <x:t xml:space="preserve">De Vrij</x:t>
  </x:si>
  <x:si>
    <x:t xml:space="preserve">Gatti</x:t>
  </x:si>
  <x:si>
    <x:t xml:space="preserve">Joao Mario</x:t>
  </x:si>
  <x:si>
    <x:t xml:space="preserve">Dd;Ds;E</x:t>
  </x:si>
  <x:si>
    <x:t xml:space="preserve">Marusic</x:t>
  </x:si>
  <x:si>
    <x:t xml:space="preserve">Gaspar K.</x:t>
  </x:si>
  <x:si>
    <x:t xml:space="preserve">Tomori</x:t>
  </x:si>
  <x:si>
    <x:t xml:space="preserve">Coco</x:t>
  </x:si>
  <x:si>
    <x:t xml:space="preserve">Biraghi</x:t>
  </x:si>
  <x:si>
    <x:t xml:space="preserve">Holm</x:t>
  </x:si>
  <x:si>
    <x:t xml:space="preserve">Mina</x:t>
  </x:si>
  <x:si>
    <x:t xml:space="preserve">Vojvoda</x:t>
  </x:si>
  <x:si>
    <x:t xml:space="preserve">De Winter</x:t>
  </x:si>
  <x:si>
    <x:t xml:space="preserve">Kelly L.</x:t>
  </x:si>
  <x:si>
    <x:t xml:space="preserve">Romagnoli</x:t>
  </x:si>
  <x:si>
    <x:t xml:space="preserve">Gabbia</x:t>
  </x:si>
  <x:si>
    <x:t xml:space="preserve">Spinazzola</x:t>
  </x:si>
  <x:si>
    <x:t xml:space="preserve">Ismajli</x:t>
  </x:si>
  <x:si>
    <x:t xml:space="preserve">Maripan</x:t>
  </x:si>
  <x:si>
    <x:t xml:space="preserve">Kristensen T.</x:t>
  </x:si>
  <x:si>
    <x:t xml:space="preserve">Kamara H.</x:t>
  </x:si>
  <x:si>
    <x:t xml:space="preserve">Cuadrado</x:t>
  </x:si>
  <x:si>
    <x:t xml:space="preserve">Idzes</x:t>
  </x:si>
  <x:si>
    <x:t xml:space="preserve">Gutierrez</x:t>
  </x:si>
  <x:si>
    <x:t xml:space="preserve">Kolasinac</x:t>
  </x:si>
  <x:si>
    <x:t xml:space="preserve">Ahanor</x:t>
  </x:si>
  <x:si>
    <x:t xml:space="preserve">Zappa</x:t>
  </x:si>
  <x:si>
    <x:t xml:space="preserve">Kempf</x:t>
  </x:si>
  <x:si>
    <x:t xml:space="preserve">Valle</x:t>
  </x:si>
  <x:si>
    <x:t xml:space="preserve">Pezzella Giu.</x:t>
  </x:si>
  <x:si>
    <x:t xml:space="preserve">Marì</x:t>
  </x:si>
  <x:si>
    <x:t xml:space="preserve">Gallo</x:t>
  </x:si>
  <x:si>
    <x:t xml:space="preserve">Angori</x:t>
  </x:si>
  <x:si>
    <x:t xml:space="preserve">Celik</x:t>
  </x:si>
  <x:si>
    <x:t xml:space="preserve">Doig</x:t>
  </x:si>
  <x:si>
    <x:t xml:space="preserve">Lazaro</x:t>
  </x:si>
  <x:si>
    <x:t xml:space="preserve">Bertola</x:t>
  </x:si>
  <x:si>
    <x:t xml:space="preserve">Candè</x:t>
  </x:si>
  <x:si>
    <x:t xml:space="preserve">Athekame</x:t>
  </x:si>
  <x:si>
    <x:t xml:space="preserve">Troilo</x:t>
  </x:si>
  <x:si>
    <x:t xml:space="preserve">Bella-Kotchap</x:t>
  </x:si>
  <x:si>
    <x:t xml:space="preserve">Lykogiannis</x:t>
  </x:si>
  <x:si>
    <x:t xml:space="preserve">Floriani Mussolini</x:t>
  </x:si>
  <x:si>
    <x:t xml:space="preserve">Pongracic</x:t>
  </x:si>
  <x:si>
    <x:t xml:space="preserve">Parisi</x:t>
  </x:si>
  <x:si>
    <x:t xml:space="preserve">Terracciano F.</x:t>
  </x:si>
  <x:si>
    <x:t xml:space="preserve">Circati</x:t>
  </x:si>
  <x:si>
    <x:t xml:space="preserve">Caracciolo A.</x:t>
  </x:si>
  <x:si>
    <x:t xml:space="preserve">Muharemovic</x:t>
  </x:si>
  <x:si>
    <x:t xml:space="preserve">Walukiewicz</x:t>
  </x:si>
  <x:si>
    <x:t xml:space="preserve">Ehizibue</x:t>
  </x:si>
  <x:si>
    <x:t xml:space="preserve">Unai Nunez</x:t>
  </x:si>
  <x:si>
    <x:t xml:space="preserve">Ostigard</x:t>
  </x:si>
  <x:si>
    <x:t xml:space="preserve">Ramon</x:t>
  </x:si>
  <x:si>
    <x:t xml:space="preserve">Heggem</x:t>
  </x:si>
  <x:si>
    <x:t xml:space="preserve">Diego Carlos</x:t>
  </x:si>
  <x:si>
    <x:t xml:space="preserve">Albiol</x:t>
  </x:si>
  <x:si>
    <x:t xml:space="preserve">Palestra</x:t>
  </x:si>
  <x:si>
    <x:t xml:space="preserve">Casale</x:t>
  </x:si>
  <x:si>
    <x:t xml:space="preserve">Posch</x:t>
  </x:si>
  <x:si>
    <x:t xml:space="preserve">De Silvestri</x:t>
  </x:si>
  <x:si>
    <x:t xml:space="preserve">Obert</x:t>
  </x:si>
  <x:si>
    <x:t xml:space="preserve">Dossena</x:t>
  </x:si>
  <x:si>
    <x:t xml:space="preserve">Goldaniga</x:t>
  </x:si>
  <x:si>
    <x:t xml:space="preserve">Van Der Brempt</x:t>
  </x:si>
  <x:si>
    <x:t xml:space="preserve">Bianchetti</x:t>
  </x:si>
  <x:si>
    <x:t xml:space="preserve">Folino</x:t>
  </x:si>
  <x:si>
    <x:t xml:space="preserve">Ceccherini</x:t>
  </x:si>
  <x:si>
    <x:t xml:space="preserve">Viti</x:t>
  </x:si>
  <x:si>
    <x:t xml:space="preserve">Marcandalli</x:t>
  </x:si>
  <x:si>
    <x:t xml:space="preserve">Norton-Cuffy</x:t>
  </x:si>
  <x:si>
    <x:t xml:space="preserve">Sabelli</x:t>
  </x:si>
  <x:si>
    <x:t xml:space="preserve">Darmian</x:t>
  </x:si>
  <x:si>
    <x:t xml:space="preserve">Cabal</x:t>
  </x:si>
  <x:si>
    <x:t xml:space="preserve">Gigot</x:t>
  </x:si>
  <x:si>
    <x:t xml:space="preserve">Provstgaard</x:t>
  </x:si>
  <x:si>
    <x:t xml:space="preserve">Patric</x:t>
  </x:si>
  <x:si>
    <x:t xml:space="preserve">Lazzari</x:t>
  </x:si>
  <x:si>
    <x:t xml:space="preserve">Pellegrini Lu.</x:t>
  </x:si>
  <x:si>
    <x:t xml:space="preserve">Kouassi</x:t>
  </x:si>
  <x:si>
    <x:t xml:space="preserve">Juan Jesus</x:t>
  </x:si>
  <x:si>
    <x:t xml:space="preserve">Valenti</x:t>
  </x:si>
  <x:si>
    <x:t xml:space="preserve">Canestrelli</x:t>
  </x:si>
  <x:si>
    <x:t xml:space="preserve">Mateus Lusuardi</x:t>
  </x:si>
  <x:si>
    <x:t xml:space="preserve">Calabresi</x:t>
  </x:si>
  <x:si>
    <x:t xml:space="preserve">Hermoso</x:t>
  </x:si>
  <x:si>
    <x:t xml:space="preserve">Rensch</x:t>
  </x:si>
  <x:si>
    <x:t xml:space="preserve">Romagna</x:t>
  </x:si>
  <x:si>
    <x:t xml:space="preserve">Pedersen</x:t>
  </x:si>
  <x:si>
    <x:t xml:space="preserve">Zemura</x:t>
  </x:si>
  <x:si>
    <x:t xml:space="preserve">Ghilardi</x:t>
  </x:si>
  <x:si>
    <x:t xml:space="preserve">Valentini N.</x:t>
  </x:si>
  <x:si>
    <x:t xml:space="preserve">Ebosse</x:t>
  </x:si>
  <x:si>
    <x:t xml:space="preserve">Bradaric</x:t>
  </x:si>
  <x:si>
    <x:t xml:space="preserve">Ndiaye</x:t>
  </x:si>
  <x:si>
    <x:t xml:space="preserve">Goglichidze</x:t>
  </x:si>
  <x:si>
    <x:t xml:space="preserve">Belghali</x:t>
  </x:si>
  <x:si>
    <x:t xml:space="preserve">Nelsson</x:t>
  </x:si>
  <x:si>
    <x:t xml:space="preserve">Siebert</x:t>
  </x:si>
  <x:si>
    <x:t xml:space="preserve">Tsimikas</x:t>
  </x:si>
  <x:si>
    <x:t xml:space="preserve">Lamptey</x:t>
  </x:si>
  <x:si>
    <x:t xml:space="preserve">Faye</x:t>
  </x:si>
  <x:si>
    <x:t xml:space="preserve">Zè Pedro</x:t>
  </x:si>
  <x:si>
    <x:t xml:space="preserve">Idrissi R.</x:t>
  </x:si>
  <x:si>
    <x:t xml:space="preserve">Moreno Alb.</x:t>
  </x:si>
  <x:si>
    <x:t xml:space="preserve">Barbieri</x:t>
  </x:si>
  <x:si>
    <x:t xml:space="preserve">Fortini</x:t>
  </x:si>
  <x:si>
    <x:t xml:space="preserve">Rugani</x:t>
  </x:si>
  <x:si>
    <x:t xml:space="preserve">Hysaj</x:t>
  </x:si>
  <x:si>
    <x:t xml:space="preserve">Jean</x:t>
  </x:si>
  <x:si>
    <x:t xml:space="preserve">Bartesaghi</x:t>
  </x:si>
  <x:si>
    <x:t xml:space="preserve">Marianucci</x:t>
  </x:si>
  <x:si>
    <x:t xml:space="preserve">Zanoli</x:t>
  </x:si>
  <x:si>
    <x:t xml:space="preserve">Mazzocchi</x:t>
  </x:si>
  <x:si>
    <x:t xml:space="preserve">Lovik</x:t>
  </x:si>
  <x:si>
    <x:t xml:space="preserve">Odenthal</x:t>
  </x:si>
  <x:si>
    <x:t xml:space="preserve">Schuurs</x:t>
  </x:si>
  <x:si>
    <x:t xml:space="preserve">Kabasele</x:t>
  </x:si>
  <x:si>
    <x:t xml:space="preserve">Rui Modesto</x:t>
  </x:si>
  <x:si>
    <x:t xml:space="preserve">Frese</x:t>
  </x:si>
  <x:si>
    <x:t xml:space="preserve">Ziolkowski</x:t>
  </x:si>
  <x:si>
    <x:t xml:space="preserve">Nkounkou</x:t>
  </x:si>
  <x:si>
    <x:t xml:space="preserve">Coulibaly W.</x:t>
  </x:si>
  <x:si>
    <x:t xml:space="preserve">Bonfanti</x:t>
  </x:si>
  <x:si>
    <x:t xml:space="preserve">Di Pardo</x:t>
  </x:si>
  <x:si>
    <x:t xml:space="preserve">Smolcic I.</x:t>
  </x:si>
  <x:si>
    <x:t xml:space="preserve">Otoa</x:t>
  </x:si>
  <x:si>
    <x:t xml:space="preserve">Tiago Gabriel</x:t>
  </x:si>
  <x:si>
    <x:t xml:space="preserve">Veiga D.</x:t>
  </x:si>
  <x:si>
    <x:t xml:space="preserve">Pieragnolo</x:t>
  </x:si>
  <x:si>
    <x:t xml:space="preserve">Masina</x:t>
  </x:si>
  <x:si>
    <x:t xml:space="preserve">Slotsager</x:t>
  </x:si>
  <x:si>
    <x:t xml:space="preserve">Oyegoke</x:t>
  </x:si>
  <x:si>
    <x:t xml:space="preserve">Denoon</x:t>
  </x:si>
  <x:si>
    <x:t xml:space="preserve">Cham</x:t>
  </x:si>
  <x:si>
    <x:t xml:space="preserve">Odogu</x:t>
  </x:si>
  <x:si>
    <x:t xml:space="preserve">Sernicola</x:t>
  </x:si>
  <x:si>
    <x:t xml:space="preserve">Rouhi</x:t>
  </x:si>
  <x:si>
    <x:t xml:space="preserve">Perez M.</x:t>
  </x:si>
  <x:si>
    <x:t xml:space="preserve">Ndaba</x:t>
  </x:si>
  <x:si>
    <x:t xml:space="preserve">Coppola F.</x:t>
  </x:si>
  <x:si>
    <x:t xml:space="preserve">Mbambi</x:t>
  </x:si>
  <x:si>
    <x:t xml:space="preserve">Esteves T.</x:t>
  </x:si>
  <x:si>
    <x:t xml:space="preserve">Paz Y.</x:t>
  </x:si>
  <x:si>
    <x:t xml:space="preserve">Dembelè A.</x:t>
  </x:si>
  <x:si>
    <x:t xml:space="preserve">Palma</x:t>
  </x:si>
  <x:si>
    <x:t xml:space="preserve">Kouadio</x:t>
  </x:si>
  <x:si>
    <x:t xml:space="preserve">Britschgi</x:t>
  </x:si>
  <x:si>
    <x:t xml:space="preserve">Rodriguez Ju.</x:t>
  </x:si>
  <x:si>
    <x:t xml:space="preserve">Palacios T.</x:t>
  </x:si>
  <x:si>
    <x:t xml:space="preserve">C</x:t>
  </x:si>
  <x:si>
    <x:t xml:space="preserve">W;A</x:t>
  </x:si>
  <x:si>
    <x:t xml:space="preserve">Orsolini</x:t>
  </x:si>
  <x:si>
    <x:t xml:space="preserve">T;A</x:t>
  </x:si>
  <x:si>
    <x:t xml:space="preserve">Pulisic</x:t>
  </x:si>
  <x:si>
    <x:t xml:space="preserve">Zaccagni</x:t>
  </x:si>
  <x:si>
    <x:t xml:space="preserve">C;T</x:t>
  </x:si>
  <x:si>
    <x:t xml:space="preserve">McTominay</x:t>
  </x:si>
  <x:si>
    <x:t xml:space="preserve">Gudmundsson A.</x:t>
  </x:si>
  <x:si>
    <x:t xml:space="preserve">T</x:t>
  </x:si>
  <x:si>
    <x:t xml:space="preserve">De Bruyne</x:t>
  </x:si>
  <x:si>
    <x:t xml:space="preserve">Rabiot</x:t>
  </x:si>
  <x:si>
    <x:t xml:space="preserve">M;C</x:t>
  </x:si>
  <x:si>
    <x:t xml:space="preserve">Calhanoglu</x:t>
  </x:si>
  <x:si>
    <x:t xml:space="preserve">Paz N.</x:t>
  </x:si>
  <x:si>
    <x:t xml:space="preserve">W</x:t>
  </x:si>
  <x:si>
    <x:t xml:space="preserve">Zhegrova</x:t>
  </x:si>
  <x:si>
    <x:t xml:space="preserve">Conceicao</x:t>
  </x:si>
  <x:si>
    <x:t xml:space="preserve">Thuram K.</x:t>
  </x:si>
  <x:si>
    <x:t xml:space="preserve">Zambo Anguissa</x:t>
  </x:si>
  <x:si>
    <x:t xml:space="preserve">Politano</x:t>
  </x:si>
  <x:si>
    <x:t xml:space="preserve">Odgaard</x:t>
  </x:si>
  <x:si>
    <x:t xml:space="preserve">Mandragora</x:t>
  </x:si>
  <x:si>
    <x:t xml:space="preserve">Bailey</x:t>
  </x:si>
  <x:si>
    <x:t xml:space="preserve">Ederson D.S.</x:t>
  </x:si>
  <x:si>
    <x:t xml:space="preserve">Barella</x:t>
  </x:si>
  <x:si>
    <x:t xml:space="preserve">Koopmeiners</x:t>
  </x:si>
  <x:si>
    <x:t xml:space="preserve">Konè M.</x:t>
  </x:si>
  <x:si>
    <x:t xml:space="preserve">Vlasic</x:t>
  </x:si>
  <x:si>
    <x:t xml:space="preserve">W;T</x:t>
  </x:si>
  <x:si>
    <x:t xml:space="preserve">Rowe</x:t>
  </x:si>
  <x:si>
    <x:t xml:space="preserve">Vandeputte</x:t>
  </x:si>
  <x:si>
    <x:t xml:space="preserve">Frattesi</x:t>
  </x:si>
  <x:si>
    <x:t xml:space="preserve">Locatelli</x:t>
  </x:si>
  <x:si>
    <x:t xml:space="preserve">Isaksen</x:t>
  </x:si>
  <x:si>
    <x:t xml:space="preserve">Modric</x:t>
  </x:si>
  <x:si>
    <x:t xml:space="preserve">Neres</x:t>
  </x:si>
  <x:si>
    <x:t xml:space="preserve">De Roon</x:t>
  </x:si>
  <x:si>
    <x:t xml:space="preserve">C;W;T</x:t>
  </x:si>
  <x:si>
    <x:t xml:space="preserve">Da Cunha</x:t>
  </x:si>
  <x:si>
    <x:t xml:space="preserve">Guendouzi</x:t>
  </x:si>
  <x:si>
    <x:t xml:space="preserve">E;W</x:t>
  </x:si>
  <x:si>
    <x:t xml:space="preserve">Saelemaekers</x:t>
  </x:si>
  <x:si>
    <x:t xml:space="preserve">Ondrejka</x:t>
  </x:si>
  <x:si>
    <x:t xml:space="preserve">Tramoni M.</x:t>
  </x:si>
  <x:si>
    <x:t xml:space="preserve">Casadei</x:t>
  </x:si>
  <x:si>
    <x:t xml:space="preserve">Jashari</x:t>
  </x:si>
  <x:si>
    <x:t xml:space="preserve">W;T;A</x:t>
  </x:si>
  <x:si>
    <x:t xml:space="preserve">Oristanio</x:t>
  </x:si>
  <x:si>
    <x:t xml:space="preserve">Pasalic</x:t>
  </x:si>
  <x:si>
    <x:t xml:space="preserve">Samardzic</x:t>
  </x:si>
  <x:si>
    <x:t xml:space="preserve">Freuler</x:t>
  </x:si>
  <x:si>
    <x:t xml:space="preserve">Caqueret</x:t>
  </x:si>
  <x:si>
    <x:t xml:space="preserve">Vazquez</x:t>
  </x:si>
  <x:si>
    <x:t xml:space="preserve">Fazzini</x:t>
  </x:si>
  <x:si>
    <x:t xml:space="preserve">Gronbaek</x:t>
  </x:si>
  <x:si>
    <x:t xml:space="preserve">Carboni V.</x:t>
  </x:si>
  <x:si>
    <x:t xml:space="preserve">Dele-Bashiru</x:t>
  </x:si>
  <x:si>
    <x:t xml:space="preserve">Fofana Y.</x:t>
  </x:si>
  <x:si>
    <x:t xml:space="preserve">Bernabè</x:t>
  </x:si>
  <x:si>
    <x:t xml:space="preserve">Sohm</x:t>
  </x:si>
  <x:si>
    <x:t xml:space="preserve">Stengs</x:t>
  </x:si>
  <x:si>
    <x:t xml:space="preserve">Elmas</x:t>
  </x:si>
  <x:si>
    <x:t xml:space="preserve">Zaniolo</x:t>
  </x:si>
  <x:si>
    <x:t xml:space="preserve">Fabbian</x:t>
  </x:si>
  <x:si>
    <x:t xml:space="preserve">Ferguson</x:t>
  </x:si>
  <x:si>
    <x:t xml:space="preserve">Pierotti</x:t>
  </x:si>
  <x:si>
    <x:t xml:space="preserve">Ricci S.</x:t>
  </x:si>
  <x:si>
    <x:t xml:space="preserve">Cristante</x:t>
  </x:si>
  <x:si>
    <x:t xml:space="preserve">Pellegrini Lo.</x:t>
  </x:si>
  <x:si>
    <x:t xml:space="preserve">Ekkelenkamp</x:t>
  </x:si>
  <x:si>
    <x:t xml:space="preserve">Sottil</x:t>
  </x:si>
  <x:si>
    <x:t xml:space="preserve">Folorunsho</x:t>
  </x:si>
  <x:si>
    <x:t xml:space="preserve">Collocolo</x:t>
  </x:si>
  <x:si>
    <x:t xml:space="preserve">Frendrup</x:t>
  </x:si>
  <x:si>
    <x:t xml:space="preserve">Sucic P.</x:t>
  </x:si>
  <x:si>
    <x:t xml:space="preserve">Mkhitaryan</x:t>
  </x:si>
  <x:si>
    <x:t xml:space="preserve">McKennie</x:t>
  </x:si>
  <x:si>
    <x:t xml:space="preserve">Tete Morente</x:t>
  </x:si>
  <x:si>
    <x:t xml:space="preserve">Loftus-Cheek</x:t>
  </x:si>
  <x:si>
    <x:t xml:space="preserve">Lobotka</x:t>
  </x:si>
  <x:si>
    <x:t xml:space="preserve">El Aynaoui</x:t>
  </x:si>
  <x:si>
    <x:t xml:space="preserve">Anjorin</x:t>
  </x:si>
  <x:si>
    <x:t xml:space="preserve">Lovric</x:t>
  </x:si>
  <x:si>
    <x:t xml:space="preserve">Nicolussi Caviglia</x:t>
  </x:si>
  <x:si>
    <x:t xml:space="preserve">Maldini</x:t>
  </x:si>
  <x:si>
    <x:t xml:space="preserve">Bernardeschi</x:t>
  </x:si>
  <x:si>
    <x:t xml:space="preserve">Gaetano</x:t>
  </x:si>
  <x:si>
    <x:t xml:space="preserve">Perrone</x:t>
  </x:si>
  <x:si>
    <x:t xml:space="preserve">Baturina</x:t>
  </x:si>
  <x:si>
    <x:t xml:space="preserve">Fagioli</x:t>
  </x:si>
  <x:si>
    <x:t xml:space="preserve">Malinovskyi</x:t>
  </x:si>
  <x:si>
    <x:t xml:space="preserve">Stanciu</x:t>
  </x:si>
  <x:si>
    <x:t xml:space="preserve">Rovella</x:t>
  </x:si>
  <x:si>
    <x:t xml:space="preserve">Coulibaly L.</x:t>
  </x:si>
  <x:si>
    <x:t xml:space="preserve">El Shaarawy</x:t>
  </x:si>
  <x:si>
    <x:t xml:space="preserve">Atta</x:t>
  </x:si>
  <x:si>
    <x:t xml:space="preserve">Suslov</x:t>
  </x:si>
  <x:si>
    <x:t xml:space="preserve">Brescianini</x:t>
  </x:si>
  <x:si>
    <x:t xml:space="preserve">Pobega</x:t>
  </x:si>
  <x:si>
    <x:t xml:space="preserve">C;W</x:t>
  </x:si>
  <x:si>
    <x:t xml:space="preserve">Messias</x:t>
  </x:si>
  <x:si>
    <x:t xml:space="preserve">Zalewski</x:t>
  </x:si>
  <x:si>
    <x:t xml:space="preserve">Ramadani</x:t>
  </x:si>
  <x:si>
    <x:t xml:space="preserve">Helgason</x:t>
  </x:si>
  <x:si>
    <x:t xml:space="preserve">E;M</x:t>
  </x:si>
  <x:si>
    <x:t xml:space="preserve">Tourè I.</x:t>
  </x:si>
  <x:si>
    <x:t xml:space="preserve">Baldanzi</x:t>
  </x:si>
  <x:si>
    <x:t xml:space="preserve">Thorstvedt</x:t>
  </x:si>
  <x:si>
    <x:t xml:space="preserve">Ilic</x:t>
  </x:si>
  <x:si>
    <x:t xml:space="preserve">Karlstrom</x:t>
  </x:si>
  <x:si>
    <x:t xml:space="preserve">Harroui</x:t>
  </x:si>
  <x:si>
    <x:t xml:space="preserve">Lorran</x:t>
  </x:si>
  <x:si>
    <x:t xml:space="preserve">Cornet</x:t>
  </x:si>
  <x:si>
    <x:t xml:space="preserve">Adopo</x:t>
  </x:si>
  <x:si>
    <x:t xml:space="preserve">Deiola</x:t>
  </x:si>
  <x:si>
    <x:t xml:space="preserve">Felici</x:t>
  </x:si>
  <x:si>
    <x:t xml:space="preserve">Valoti</x:t>
  </x:si>
  <x:si>
    <x:t xml:space="preserve">Masini</x:t>
  </x:si>
  <x:si>
    <x:t xml:space="preserve">Ellertsson</x:t>
  </x:si>
  <x:si>
    <x:t xml:space="preserve">Luis Henrique</x:t>
  </x:si>
  <x:si>
    <x:t xml:space="preserve">Vecino</x:t>
  </x:si>
  <x:si>
    <x:t xml:space="preserve">Maleh</x:t>
  </x:si>
  <x:si>
    <x:t xml:space="preserve">Pierret</x:t>
  </x:si>
  <x:si>
    <x:t xml:space="preserve">Musah</x:t>
  </x:si>
  <x:si>
    <x:t xml:space="preserve">Gilmour</x:t>
  </x:si>
  <x:si>
    <x:t xml:space="preserve">Keita M.</x:t>
  </x:si>
  <x:si>
    <x:t xml:space="preserve">Hernani</x:t>
  </x:si>
  <x:si>
    <x:t xml:space="preserve">Piccinini G.</x:t>
  </x:si>
  <x:si>
    <x:t xml:space="preserve">Marin M.</x:t>
  </x:si>
  <x:si>
    <x:t xml:space="preserve">Pisilli</x:t>
  </x:si>
  <x:si>
    <x:t xml:space="preserve">Boloca</x:t>
  </x:si>
  <x:si>
    <x:t xml:space="preserve">Fadera</x:t>
  </x:si>
  <x:si>
    <x:t xml:space="preserve">Volpato</x:t>
  </x:si>
  <x:si>
    <x:t xml:space="preserve">Serdar</x:t>
  </x:si>
  <x:si>
    <x:t xml:space="preserve">Piotrowski</x:t>
  </x:si>
  <x:si>
    <x:t xml:space="preserve">Sorensen O.</x:t>
  </x:si>
  <x:si>
    <x:t xml:space="preserve">Diouf</x:t>
  </x:si>
  <x:si>
    <x:t xml:space="preserve">Thorsby</x:t>
  </x:si>
  <x:si>
    <x:t xml:space="preserve">Kostic</x:t>
  </x:si>
  <x:si>
    <x:t xml:space="preserve">Belahyane</x:t>
  </x:si>
  <x:si>
    <x:t xml:space="preserve">Cataldi</x:t>
  </x:si>
  <x:si>
    <x:t xml:space="preserve">Zerbin</x:t>
  </x:si>
  <x:si>
    <x:t xml:space="preserve">Ordonez C.</x:t>
  </x:si>
  <x:si>
    <x:t xml:space="preserve">Konè I.</x:t>
  </x:si>
  <x:si>
    <x:t xml:space="preserve">Tameze</x:t>
  </x:si>
  <x:si>
    <x:t xml:space="preserve">Mazzitelli</x:t>
  </x:si>
  <x:si>
    <x:t xml:space="preserve">Cremaschi</x:t>
  </x:si>
  <x:si>
    <x:t xml:space="preserve">Sulemana I.</x:t>
  </x:si>
  <x:si>
    <x:t xml:space="preserve">Aebischer</x:t>
  </x:si>
  <x:si>
    <x:t xml:space="preserve">Prati</x:t>
  </x:si>
  <x:si>
    <x:t xml:space="preserve">Sergi Roberto</x:t>
  </x:si>
  <x:si>
    <x:t xml:space="preserve">Grassi</x:t>
  </x:si>
  <x:si>
    <x:t xml:space="preserve">Richardson</x:t>
  </x:si>
  <x:si>
    <x:t xml:space="preserve">Asllani</x:t>
  </x:si>
  <x:si>
    <x:t xml:space="preserve">Zielinski</x:t>
  </x:si>
  <x:si>
    <x:t xml:space="preserve">Miretti</x:t>
  </x:si>
  <x:si>
    <x:t xml:space="preserve">Bondo</x:t>
  </x:si>
  <x:si>
    <x:t xml:space="preserve">Lipani</x:t>
  </x:si>
  <x:si>
    <x:t xml:space="preserve">Gineitis</x:t>
  </x:si>
  <x:si>
    <x:t xml:space="preserve">Payero</x:t>
  </x:si>
  <x:si>
    <x:t xml:space="preserve">Bernede</x:t>
  </x:si>
  <x:si>
    <x:t xml:space="preserve">Kastanos</x:t>
  </x:si>
  <x:si>
    <x:t xml:space="preserve">Vranckx</x:t>
  </x:si>
  <x:si>
    <x:t xml:space="preserve">Matic</x:t>
  </x:si>
  <x:si>
    <x:t xml:space="preserve">Al-Musrati</x:t>
  </x:si>
  <x:si>
    <x:t xml:space="preserve">Sarmiento J.</x:t>
  </x:si>
  <x:si>
    <x:t xml:space="preserve">Moro N.</x:t>
  </x:si>
  <x:si>
    <x:t xml:space="preserve">Venturino</x:t>
  </x:si>
  <x:si>
    <x:t xml:space="preserve">Berisha M.</x:t>
  </x:si>
  <x:si>
    <x:t xml:space="preserve">Rafia</x:t>
  </x:si>
  <x:si>
    <x:t xml:space="preserve">Vural</x:t>
  </x:si>
  <x:si>
    <x:t xml:space="preserve">Akinsanmiro</x:t>
  </x:si>
  <x:si>
    <x:t xml:space="preserve">Zarraga</x:t>
  </x:si>
  <x:si>
    <x:t xml:space="preserve">Niasse</x:t>
  </x:si>
  <x:si>
    <x:t xml:space="preserve">Miller L.</x:t>
  </x:si>
  <x:si>
    <x:t xml:space="preserve">Sala A.</x:t>
  </x:si>
  <x:si>
    <x:t xml:space="preserve">Ndour</x:t>
  </x:si>
  <x:si>
    <x:t xml:space="preserve">Sabiri</x:t>
  </x:si>
  <x:si>
    <x:t xml:space="preserve">Kaba</x:t>
  </x:si>
  <x:si>
    <x:t xml:space="preserve">Estevez</x:t>
  </x:si>
  <x:si>
    <x:t xml:space="preserve">Leris</x:t>
  </x:si>
  <x:si>
    <x:t xml:space="preserve">Santiago</x:t>
  </x:si>
  <x:si>
    <x:t xml:space="preserve">Onana J.</x:t>
  </x:si>
  <x:si>
    <x:t xml:space="preserve">Liteta</x:t>
  </x:si>
  <x:si>
    <x:t xml:space="preserve">Basic</x:t>
  </x:si>
  <x:si>
    <x:t xml:space="preserve">Marchwinski</x:t>
  </x:si>
  <x:si>
    <x:t xml:space="preserve">Hojholt</x:t>
  </x:si>
  <x:si>
    <x:t xml:space="preserve">Iannoni</x:t>
  </x:si>
  <x:si>
    <x:t xml:space="preserve">Rog</x:t>
  </x:si>
  <x:si>
    <x:t xml:space="preserve">Adzic</x:t>
  </x:si>
  <x:si>
    <x:t xml:space="preserve">Ilkhan</x:t>
  </x:si>
  <x:si>
    <x:t xml:space="preserve">Cuenca H.</x:t>
  </x:si>
  <x:si>
    <x:t xml:space="preserve">Vergara</x:t>
  </x:si>
  <x:si>
    <x:t xml:space="preserve">Akpa Akpro</x:t>
  </x:si>
  <x:si>
    <x:t xml:space="preserve">A</x:t>
  </x:si>
  <x:si>
    <x:t xml:space="preserve">Pc</x:t>
  </x:si>
  <x:si>
    <x:t xml:space="preserve">Martinez L.</x:t>
  </x:si>
  <x:si>
    <x:t xml:space="preserve">Kean</x:t>
  </x:si>
  <x:si>
    <x:t xml:space="preserve">Thuram</x:t>
  </x:si>
  <x:si>
    <x:t xml:space="preserve">Lukaku</x:t>
  </x:si>
  <x:si>
    <x:t xml:space="preserve">Lookman</x:t>
  </x:si>
  <x:si>
    <x:t xml:space="preserve">David</x:t>
  </x:si>
  <x:si>
    <x:t xml:space="preserve">Vlahovic</x:t>
  </x:si>
  <x:si>
    <x:t xml:space="preserve">Dybala</x:t>
  </x:si>
  <x:si>
    <x:t xml:space="preserve">Yildiz</x:t>
  </x:si>
  <x:si>
    <x:t xml:space="preserve">Gimenez</x:t>
  </x:si>
  <x:si>
    <x:t xml:space="preserve">Hojlund</x:t>
  </x:si>
  <x:si>
    <x:t xml:space="preserve">Leao</x:t>
  </x:si>
  <x:si>
    <x:t xml:space="preserve">Castellanos</x:t>
  </x:si>
  <x:si>
    <x:t xml:space="preserve">Openda</x:t>
  </x:si>
  <x:si>
    <x:t xml:space="preserve">De Ketelaere</x:t>
  </x:si>
  <x:si>
    <x:t xml:space="preserve">Dia</x:t>
  </x:si>
  <x:si>
    <x:t xml:space="preserve">Berardi</x:t>
  </x:si>
  <x:si>
    <x:t xml:space="preserve">Scamacca</x:t>
  </x:si>
  <x:si>
    <x:t xml:space="preserve">Castro S.</x:t>
  </x:si>
  <x:si>
    <x:t xml:space="preserve">Krstovic</x:t>
  </x:si>
  <x:si>
    <x:t xml:space="preserve">Soulè</x:t>
  </x:si>
  <x:si>
    <x:t xml:space="preserve">Dovbyk</x:t>
  </x:si>
  <x:si>
    <x:t xml:space="preserve">Nkunku</x:t>
  </x:si>
  <x:si>
    <x:t xml:space="preserve">Immobile</x:t>
  </x:si>
  <x:si>
    <x:t xml:space="preserve">Ferguson E.</x:t>
  </x:si>
  <x:si>
    <x:t xml:space="preserve">Zapata D.</x:t>
  </x:si>
  <x:si>
    <x:t xml:space="preserve">Lang</x:t>
  </x:si>
  <x:si>
    <x:t xml:space="preserve">Morata</x:t>
  </x:si>
  <x:si>
    <x:t xml:space="preserve">Piccoli</x:t>
  </x:si>
  <x:si>
    <x:t xml:space="preserve">Diao</x:t>
  </x:si>
  <x:si>
    <x:t xml:space="preserve">Pinamonti</x:t>
  </x:si>
  <x:si>
    <x:t xml:space="preserve">Orban G.</x:t>
  </x:si>
  <x:si>
    <x:t xml:space="preserve">Vardy</x:t>
  </x:si>
  <x:si>
    <x:t xml:space="preserve">Dzeko</x:t>
  </x:si>
  <x:si>
    <x:t xml:space="preserve">Lucca</x:t>
  </x:si>
  <x:si>
    <x:t xml:space="preserve">Laurientè</x:t>
  </x:si>
  <x:si>
    <x:t xml:space="preserve">Kuhn</x:t>
  </x:si>
  <x:si>
    <x:t xml:space="preserve">Pedro</x:t>
  </x:si>
  <x:si>
    <x:t xml:space="preserve">Pellegrino M.</x:t>
  </x:si>
  <x:si>
    <x:t xml:space="preserve">Adams C.</x:t>
  </x:si>
  <x:si>
    <x:t xml:space="preserve">Davis K.</x:t>
  </x:si>
  <x:si>
    <x:t xml:space="preserve">Stulic</x:t>
  </x:si>
  <x:si>
    <x:t xml:space="preserve">Luvumbo</x:t>
  </x:si>
  <x:si>
    <x:t xml:space="preserve">Nzola</x:t>
  </x:si>
  <x:si>
    <x:t xml:space="preserve">Belotti</x:t>
  </x:si>
  <x:si>
    <x:t xml:space="preserve">Cambiaghi</x:t>
  </x:si>
  <x:si>
    <x:t xml:space="preserve">Cutrone</x:t>
  </x:si>
  <x:si>
    <x:t xml:space="preserve">Colombo</x:t>
  </x:si>
  <x:si>
    <x:t xml:space="preserve">Vitinha O.</x:t>
  </x:si>
  <x:si>
    <x:t xml:space="preserve">Camarda</x:t>
  </x:si>
  <x:si>
    <x:t xml:space="preserve">Dallinga</x:t>
  </x:si>
  <x:si>
    <x:t xml:space="preserve">Douvikas</x:t>
  </x:si>
  <x:si>
    <x:t xml:space="preserve">De Luca</x:t>
  </x:si>
  <x:si>
    <x:t xml:space="preserve">Buksa</x:t>
  </x:si>
  <x:si>
    <x:t xml:space="preserve">Sulemana K.</x:t>
  </x:si>
  <x:si>
    <x:t xml:space="preserve">Dominguez B.</x:t>
  </x:si>
  <x:si>
    <x:t xml:space="preserve">Simeone</x:t>
  </x:si>
  <x:si>
    <x:t xml:space="preserve">Djuric</x:t>
  </x:si>
  <x:si>
    <x:t xml:space="preserve">Ngonge</x:t>
  </x:si>
  <x:si>
    <x:t xml:space="preserve">Sanabria</x:t>
  </x:si>
  <x:si>
    <x:t xml:space="preserve">Aboukhlal</x:t>
  </x:si>
  <x:si>
    <x:t xml:space="preserve">Esposito Se.</x:t>
  </x:si>
  <x:si>
    <x:t xml:space="preserve">Bonny</x:t>
  </x:si>
  <x:si>
    <x:t xml:space="preserve">Esposito F.P.</x:t>
  </x:si>
  <x:si>
    <x:t xml:space="preserve">Sarr A.</x:t>
  </x:si>
  <x:si>
    <x:t xml:space="preserve">Mosquera</x:t>
  </x:si>
  <x:si>
    <x:t xml:space="preserve">Addai</x:t>
  </x:si>
  <x:si>
    <x:t xml:space="preserve">Rodriguez Je.</x:t>
  </x:si>
  <x:si>
    <x:t xml:space="preserve">Johnsen</x:t>
  </x:si>
  <x:si>
    <x:t xml:space="preserve">Okereke</x:t>
  </x:si>
  <x:si>
    <x:t xml:space="preserve">Noslin</x:t>
  </x:si>
  <x:si>
    <x:t xml:space="preserve">Moreo</x:t>
  </x:si>
  <x:si>
    <x:t xml:space="preserve">Bravo</x:t>
  </x:si>
  <x:si>
    <x:t xml:space="preserve">Kilicsoy</x:t>
  </x:si>
  <x:si>
    <x:t xml:space="preserve">Frigan</x:t>
  </x:si>
  <x:si>
    <x:t xml:space="preserve">Moumbagna</x:t>
  </x:si>
  <x:si>
    <x:t xml:space="preserve">Borrelli</x:t>
  </x:si>
  <x:si>
    <x:t xml:space="preserve">Banda</x:t>
  </x:si>
  <x:si>
    <x:t xml:space="preserve">Almqvist</x:t>
  </x:si>
  <x:si>
    <x:t xml:space="preserve">Cancellieri</x:t>
  </x:si>
  <x:si>
    <x:t xml:space="preserve">N'Dri</x:t>
  </x:si>
  <x:si>
    <x:t xml:space="preserve">Pierini</x:t>
  </x:si>
  <x:si>
    <x:t xml:space="preserve">Bayo V.</x:t>
  </x:si>
  <x:si>
    <x:t xml:space="preserve">Cheddira</x:t>
  </x:si>
  <x:si>
    <x:t xml:space="preserve">Bonazzoli</x:t>
  </x:si>
  <x:si>
    <x:t xml:space="preserve">Giovane</x:t>
  </x:si>
  <x:si>
    <x:t xml:space="preserve">Ekuban</x:t>
  </x:si>
  <x:si>
    <x:t xml:space="preserve">Meister</x:t>
  </x:si>
  <x:si>
    <x:t xml:space="preserve">Pavoletti</x:t>
  </x:si>
  <x:si>
    <x:t xml:space="preserve">Ekhator</x:t>
  </x:si>
  <x:si>
    <x:t xml:space="preserve">Milik</x:t>
  </x:si>
  <x:si>
    <x:t xml:space="preserve">Benedyczak</x:t>
  </x:si>
  <x:si>
    <x:t xml:space="preserve">Buffon L.</x:t>
  </x:si>
  <x:si>
    <x:t xml:space="preserve">Moro L.</x:t>
  </x:si>
  <x:si>
    <x:t xml:space="preserve">Skjellerup</x:t>
  </x:si>
  <x:si>
    <x:t xml:space="preserve">Njie</x:t>
  </x:si>
  <x:si>
    <x:t xml:space="preserve">Balentien</x:t>
  </x:si>
  <x:si>
    <x:t xml:space="preserve">Ambrosino</x:t>
  </x:si>
  <x:si>
    <x:t xml:space="preserve">Gueye</x:t>
  </x:si>
  <x:si>
    <x:t xml:space="preserve">Arena A.</x:t>
  </x:si>
  <x:si>
    <x:t xml:space="preserve">IO</x:t>
  </x:si>
  <x:si>
    <x:t xml:space="preserve">Simo Q</x:t>
  </x:si>
  <x:si>
    <x:t xml:space="preserve">Andre</x:t>
  </x:si>
  <x:si>
    <x:t xml:space="preserve">Cri</x:t>
  </x:si>
  <x:si>
    <x:t xml:space="preserve">Marco</x:t>
  </x:si>
  <x:si>
    <x:t xml:space="preserve">Alessio</x:t>
  </x:si>
  <x:si>
    <x:t xml:space="preserve">Carlo</x:t>
  </x:si>
  <x:si>
    <x:t xml:space="preserve">Nicola</x:t>
  </x:si>
  <x:si>
    <x:t xml:space="preserve">CREDITI</x:t>
  </x:si>
  <x:si>
    <x:t xml:space="preserve">PORTIERI</x:t>
  </x:si>
  <x:si>
    <x:t xml:space="preserve">DIFENSORI</x:t>
  </x:si>
  <x:si>
    <x:t xml:space="preserve">CENTROCAMPISTI</x:t>
  </x:si>
  <x:si>
    <x:t xml:space="preserve">ATTACCANTI</x:t>
  </x:si>
  <x:si>
    <x:t xml:space="preserve">TOTALE UTILIZZATO</x:t>
  </x:si>
  <x:si>
    <x:t xml:space="preserve">CREDITI RESIDUI</x:t>
  </x:si>
  <x:si>
    <x:t xml:space="preserve">NICK</x:t>
  </x:si>
  <x:si>
    <x:t xml:space="preserve">ALE</x:t>
  </x:si>
  <x:si>
    <x:t xml:space="preserve">SIMO</x:t>
  </x:si>
  <x:si>
    <x:t xml:space="preserve">ANDRE</x:t>
  </x:si>
  <x:si>
    <x:t xml:space="preserve">MARCO</x:t>
  </x:si>
  <x:si>
    <x:t xml:space="preserve">CHRI</x:t>
  </x:si>
  <x:si>
    <x:t xml:space="preserve">CARLO</x:t>
  </x:si>
  <x:si>
    <x:t xml:space="preserve">Montipo</x:t>
  </x:si>
  <x:si>
    <x:t xml:space="preserve">Malinovsky</x:t>
  </x:si>
  <x:si>
    <x:t xml:space="preserve">Orban</x:t>
  </x:si>
  <x:si>
    <x:t xml:space="preserve">Fullkrug </x:t>
  </x:si>
  <x:si>
    <x:t xml:space="preserve">Djmsiti</x:t>
  </x:si>
  <x:si>
    <x:t xml:space="preserve">Pellegrini</x:t>
  </x:si>
  <x:si>
    <x:t xml:space="preserve">Davis</x:t>
  </x:si>
  <x:si>
    <x:t xml:space="preserve">Zapata</x:t>
  </x:si>
  <x:si>
    <x:t xml:space="preserve">Calciatori Ceduti 2025 26</x:t>
  </x:si>
  <x:si>
    <x:t xml:space="preserve">Christensen O.</x:t>
  </x:si>
  <x:si>
    <x:t xml:space="preserve">Russo A.</x:t>
  </x:si>
  <x:si>
    <x:t xml:space="preserve">Donnarumma An.</x:t>
  </x:si>
  <x:si>
    <x:t xml:space="preserve">Pavard</x:t>
  </x:si>
  <x:si>
    <x:t xml:space="preserve">Tchatchoua</x:t>
  </x:si>
  <x:si>
    <x:t xml:space="preserve">Leoni</x:t>
  </x:si>
  <x:si>
    <x:t xml:space="preserve">Jimenez A.</x:t>
  </x:si>
  <x:si>
    <x:t xml:space="preserve">Thiaw</x:t>
  </x:si>
  <x:si>
    <x:t xml:space="preserve">Salah-Eddine</x:t>
  </x:si>
  <x:si>
    <x:t xml:space="preserve">Erlic</x:t>
  </x:si>
  <x:si>
    <x:t xml:space="preserve">Azzi</x:t>
  </x:si>
  <x:si>
    <x:t xml:space="preserve">Vogliacco</x:t>
  </x:si>
  <x:si>
    <x:t xml:space="preserve">Savona</x:t>
  </x:si>
  <x:si>
    <x:t xml:space="preserve">Balogh</x:t>
  </x:si>
  <x:si>
    <x:t xml:space="preserve">Giannetti L.</x:t>
  </x:si>
  <x:si>
    <x:t xml:space="preserve">Jack</x:t>
  </x:si>
  <x:si>
    <x:t xml:space="preserve">Ravanelli</x:t>
  </x:si>
  <x:si>
    <x:t xml:space="preserve">Hainaut</x:t>
  </x:si>
  <x:si>
    <x:t xml:space="preserve">Rus</x:t>
  </x:si>
  <x:si>
    <x:t xml:space="preserve">Kumbulla</x:t>
  </x:si>
  <x:si>
    <x:t xml:space="preserve">Missori</x:t>
  </x:si>
  <x:si>
    <x:t xml:space="preserve">Ilic M.</x:t>
  </x:si>
  <x:si>
    <x:t xml:space="preserve">Wieteska</x:t>
  </x:si>
  <x:si>
    <x:t xml:space="preserve">Veroli</x:t>
  </x:si>
  <x:si>
    <x:t xml:space="preserve">Quagliata</x:t>
  </x:si>
  <x:si>
    <x:t xml:space="preserve">Abdulhamid</x:t>
  </x:si>
  <x:si>
    <x:t xml:space="preserve">B;Dd;Ds</x:t>
  </x:si>
  <x:si>
    <x:t xml:space="preserve">Godfrey</x:t>
  </x:si>
  <x:si>
    <x:t xml:space="preserve">Ndoye</x:t>
  </x:si>
  <x:si>
    <x:t xml:space="preserve">Strefezza</x:t>
  </x:si>
  <x:si>
    <x:t xml:space="preserve">Man</x:t>
  </x:si>
  <x:si>
    <x:t xml:space="preserve">Weah</x:t>
  </x:si>
  <x:si>
    <x:t xml:space="preserve">Zanimacchia</x:t>
  </x:si>
  <x:si>
    <x:t xml:space="preserve">Chukwueze</x:t>
  </x:si>
  <x:si>
    <x:t xml:space="preserve">Ghion</x:t>
  </x:si>
  <x:si>
    <x:t xml:space="preserve">El Azzouzi</x:t>
  </x:si>
  <x:si>
    <x:t xml:space="preserve">Castagnetti</x:t>
  </x:si>
  <x:si>
    <x:t xml:space="preserve">Douglas Luiz</x:t>
  </x:si>
  <x:si>
    <x:t xml:space="preserve">Engelhardt</x:t>
  </x:si>
  <x:si>
    <x:t xml:space="preserve">Pickel</x:t>
  </x:si>
  <x:si>
    <x:t xml:space="preserve">Braunoder</x:t>
  </x:si>
  <x:si>
    <x:t xml:space="preserve">Alli</x:t>
  </x:si>
  <x:si>
    <x:t xml:space="preserve">Bianco</x:t>
  </x:si>
  <x:si>
    <x:t xml:space="preserve">Liberali</x:t>
  </x:si>
  <x:si>
    <x:t xml:space="preserve">Arena</x:t>
  </x:si>
  <x:si>
    <x:t xml:space="preserve">Pafundi</x:t>
  </x:si>
  <x:si>
    <x:t xml:space="preserve">Cissè A.</x:t>
  </x:si>
  <x:si>
    <x:t xml:space="preserve">Thauvin</x:t>
  </x:si>
  <x:si>
    <x:t xml:space="preserve">Raspadori</x:t>
  </x:si>
  <x:si>
    <x:t xml:space="preserve">Gonzalez N.</x:t>
  </x:si>
  <x:si>
    <x:t xml:space="preserve">Tourè E.</x:t>
  </x:si>
  <x:si>
    <x:t xml:space="preserve">Beltran L.</x:t>
  </x:si>
  <x:si>
    <x:t xml:space="preserve">Sanchez</x:t>
  </x:si>
  <x:si>
    <x:t xml:space="preserve">Mulattieri</x:t>
  </x:si>
  <x:si>
    <x:t xml:space="preserve">Taremi</x:t>
  </x:si>
  <x:si>
    <x:t xml:space="preserve">Okafor</x:t>
  </x:si>
  <x:si>
    <x:t xml:space="preserve">Lind</x:t>
  </x:si>
  <x:si>
    <x:t xml:space="preserve">Karlsson</x:t>
  </x:si>
  <x:si>
    <x:t xml:space="preserve">Brenner</x:t>
  </x:si>
  <x:si>
    <x:t xml:space="preserve">Rocha Livramento</x:t>
  </x:si>
  <x:si>
    <x:t xml:space="preserve">Alvarez A.</x:t>
  </x:si>
  <x:si>
    <x:t xml:space="preserve">Azon</x:t>
  </x:si>
  <x:si>
    <x:t xml:space="preserve">Gabrielloni</x:t>
  </x:si>
  <x:si>
    <x:t xml:space="preserve">Nasti</x:t>
  </x:si>
  <x:si>
    <x:t xml:space="preserve">Bonfanti N.</x:t>
  </x:si>
  <x:si>
    <x:t xml:space="preserve">Pizarro</x:t>
  </x:si>
</x:sst>
</file>

<file path=xl/styles.xml><?xml version="1.0" encoding="utf-8"?>
<x:styleSheet xmlns:x="http://schemas.openxmlformats.org/spreadsheetml/2006/main">
  <x:numFmts count="4">
    <x:numFmt numFmtId="200" formatCode="0.00"/>
    <x:numFmt numFmtId="201" formatCode="0%"/>
    <x:numFmt numFmtId="202" formatCode="0.00x"/>
    <x:numFmt numFmtId="203" formatCode="0.0%"/>
  </x:numFmts>
  <x:fonts count="12">
    <x:font>
      <x:sz val="11"/>
      <x:color rgb="FF000000"/>
      <x:name val="Calibri"/>
    </x:font>
    <x:font>
      <x:b/>
      <x:sz val="11"/>
      <x:color theme="1"/>
      <x:name val="Calibri"/>
    </x:font>
    <x:font/>
    <x:font>
      <x:color theme="1"/>
      <x:name val="Calibri"/>
    </x:font>
    <x:font>
      <x:sz val="11"/>
      <x:color theme="1"/>
      <x:name val="Calibri"/>
    </x:font>
    <x:font>
      <x:b/>
      <x:sz val="12"/>
      <x:color theme="1"/>
      <x:name val="Calibri"/>
    </x:font>
    <x:font>
      <x:b/>
      <x:sz val="14"/>
      <x:color theme="1"/>
      <x:name val="Calibri"/>
    </x:font>
    <x:font>
      <x:b/>
      <x:sz val="16"/>
      <x:color rgb="FFFFFFFF"/>
      <x:name val="Calibri"/>
    </x:font>
    <x:font>
      <x:b/>
      <x:sz val="11"/>
      <x:color rgb="FF000000"/>
      <x:name val="Calibri"/>
    </x:font>
    <x:font>
      <x:i/>
      <x:sz val="11"/>
      <x:color rgb="FF000000"/>
      <x:name val="Calibri"/>
    </x:font>
    <x:font>
      <x:b/>
      <x:sz val="14"/>
      <x:color rgb="FF000000"/>
      <x:name val="Calibri"/>
    </x:font>
    <x:font>
      <x:b/>
      <x:sz val="11"/>
      <x:color rgb="FF1F1F1F"/>
      <x:name val="Calibri"/>
    </x:font>
  </x:fonts>
  <x:fills count="13">
    <x:fill>
      <x:patternFill patternType="none"/>
    </x:fill>
    <x:fill>
      <x:patternFill patternType="lightGray"/>
    </x:fill>
    <x:fill>
      <x:patternFill patternType="solid">
        <x:fgColor rgb="FFD3D3D3"/>
      </x:patternFill>
    </x:fill>
    <x:fill>
      <x:patternFill patternType="solid">
        <x:fgColor rgb="FFFFD966"/>
      </x:patternFill>
    </x:fill>
    <x:fill>
      <x:patternFill patternType="solid">
        <x:fgColor rgb="FFA4C2F4"/>
      </x:patternFill>
    </x:fill>
    <x:fill>
      <x:patternFill patternType="solid">
        <x:fgColor rgb="FFD5A6BD"/>
      </x:patternFill>
    </x:fill>
    <x:fill>
      <x:patternFill patternType="solid">
        <x:fgColor rgb="FFFF0000"/>
      </x:patternFill>
    </x:fill>
    <x:fill>
      <x:patternFill patternType="solid">
        <x:fgColor rgb="FF1F4E78"/>
      </x:patternFill>
    </x:fill>
    <x:fill>
      <x:patternFill patternType="solid">
        <x:fgColor rgb="FFFFD96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9EE"/>
      </x:patternFill>
    </x:fill>
    <x:fill>
      <x:patternFill patternType="solid">
        <x:fgColor rgb="FFD9EAF7"/>
      </x:patternFill>
    </x:fill>
  </x:fills>
  <x:borders count="8">
    <x:border/>
    <x:border>
      <x:bottom style="thin">
        <x:color rgb="FF000000"/>
      </x:bottom>
    </x:border>
    <x:border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</x:border>
    <x:border>
      <x:bottom style="thin">
        <x:color rgb="FF000000"/>
      </x:bottom>
    </x:border>
  </x:borders>
  <x:cellStyleXfs count="1">
    <x:xf numFmtId="0" fontId="0" fillId="0" borderId="0" applyFont="1" applyAlignment="1"/>
  </x:cellStyleXfs>
  <x:cellXfs count="78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/>
    <x:xf numFmtId="0" fontId="1" fillId="3" borderId="0" xfId="0" applyFont="1" applyFill="1" applyAlignment="1">
      <x:alignment vertical="bottom"/>
    </x:xf>
    <x:xf numFmtId="0" fontId="1" fillId="3" borderId="0" xfId="0" applyFont="1" applyAlignment="1">
      <x:alignment vertical="bottom"/>
    </x:xf>
    <x:xf numFmtId="0" fontId="3" fillId="0" borderId="0" xfId="0" applyFont="1" applyAlignment="1"/>
    <x:xf numFmtId="0" fontId="1" fillId="0" borderId="0" xfId="0" applyFont="1" applyAlignment="1">
      <x:alignment vertical="bottom"/>
    </x:xf>
    <x:xf numFmtId="0" fontId="1" fillId="0" borderId="0" xfId="0" applyFont="1" applyAlignment="1">
      <x:alignment horizontal="right" vertical="bottom"/>
    </x:xf>
    <x:xf numFmtId="0" fontId="4" fillId="0" borderId="0" xfId="0" applyFont="1" applyAlignment="1">
      <x:alignment vertical="bottom"/>
    </x:xf>
    <x:xf numFmtId="0" fontId="1" fillId="3" borderId="4" xfId="0" applyFont="1" applyBorder="1" applyAlignment="1">
      <x:alignment horizontal="center" vertical="bottom"/>
    </x:xf>
    <x:xf numFmtId="0" fontId="1" fillId="3" borderId="5" xfId="0" applyFont="1" applyBorder="1" applyAlignment="1">
      <x:alignment horizontal="center" vertical="bottom"/>
    </x:xf>
    <x:xf numFmtId="0" fontId="1" fillId="3" borderId="5" xfId="0" applyFont="1" applyBorder="1" applyAlignment="1">
      <x:alignment horizontal="center" vertical="bottom"/>
    </x:xf>
    <x:xf numFmtId="0" fontId="1" fillId="3" borderId="6" xfId="0" applyFont="1" applyBorder="1" applyAlignment="1">
      <x:alignment horizontal="center" vertical="bottom"/>
    </x:xf>
    <x:xf numFmtId="0" fontId="5" fillId="0" borderId="0" xfId="0" applyFont="1" applyAlignment="1">
      <x:alignment horizontal="right" vertical="bottom"/>
    </x:xf>
    <x:xf numFmtId="0" fontId="4" fillId="0" borderId="4" xfId="0" applyFont="1" applyBorder="1" applyAlignment="1">
      <x:alignment horizontal="center" vertical="bottom"/>
    </x:xf>
    <x:xf numFmtId="0" fontId="6" fillId="4" borderId="0" xfId="0" applyFont="1" applyFill="1" applyAlignment="1">
      <x:alignment vertical="bottom"/>
    </x:xf>
    <x:xf numFmtId="0" fontId="6" fillId="4" borderId="4" xfId="0" applyFont="1" applyBorder="1" applyAlignment="1">
      <x:alignment horizontal="center" vertical="bottom"/>
    </x:xf>
    <x:xf numFmtId="0" fontId="6" fillId="4" borderId="5" xfId="0" applyFont="1" applyBorder="1" applyAlignment="1">
      <x:alignment horizontal="center" vertical="bottom"/>
    </x:xf>
    <x:xf numFmtId="0" fontId="6" fillId="4" borderId="6" xfId="0" applyFont="1" applyBorder="1" applyAlignment="1">
      <x:alignment horizontal="center" vertical="bottom"/>
    </x:xf>
    <x:xf numFmtId="0" fontId="6" fillId="5" borderId="0" xfId="0" applyFont="1" applyFill="1" applyAlignment="1">
      <x:alignment vertical="bottom"/>
    </x:xf>
    <x:xf numFmtId="0" fontId="6" fillId="5" borderId="4" xfId="0" applyFont="1" applyBorder="1" applyAlignment="1">
      <x:alignment horizontal="center" vertical="bottom"/>
    </x:xf>
    <x:xf numFmtId="0" fontId="3" fillId="6" borderId="0" xfId="0" applyFont="1" applyFill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7" xfId="0" applyNumberFormat="1" applyFont="1" applyFill="1" applyBorder="1" applyAlignment="1">
      <x:alignment horizontal="center"/>
    </x:xf>
    <x:xf numFmtId="0" fontId="2" fillId="0" borderId="7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bottom"/>
    </x:xf>
    <x:xf numFmtId="0" fontId="1" fillId="0" borderId="0" xfId="0" applyNumberFormat="1" applyFont="1" applyFill="1" applyBorder="1" applyAlignment="1">
      <x:alignment vertical="bottom"/>
    </x:xf>
    <x:xf numFmtId="0" fontId="1" fillId="0" borderId="0" xfId="0" applyNumberFormat="1" applyFont="1" applyFill="1" applyBorder="1" applyAlignment="1">
      <x:alignment horizontal="right" vertical="bottom"/>
    </x:xf>
    <x:xf numFmtId="0" fontId="4" fillId="0" borderId="0" xfId="0" applyNumberFormat="1" applyFont="1" applyFill="1" applyBorder="1" applyAlignment="1">
      <x:alignment vertical="bottom"/>
    </x:xf>
    <x:xf numFmtId="0" fontId="1" fillId="3" borderId="4" xfId="0" applyNumberFormat="1" applyFont="1" applyFill="1" applyBorder="1" applyAlignment="1">
      <x:alignment horizontal="center" vertical="bottom"/>
    </x:xf>
    <x:xf numFmtId="0" fontId="1" fillId="3" borderId="5" xfId="0" applyNumberFormat="1" applyFont="1" applyFill="1" applyBorder="1" applyAlignment="1">
      <x:alignment horizontal="center" vertical="bottom"/>
    </x:xf>
    <x:xf numFmtId="0" fontId="1" fillId="3" borderId="6" xfId="0" applyNumberFormat="1" applyFont="1" applyFill="1" applyBorder="1" applyAlignment="1">
      <x:alignment horizontal="center" vertical="bottom"/>
    </x:xf>
    <x:xf numFmtId="0" fontId="5" fillId="0" borderId="0" xfId="0" applyNumberFormat="1" applyFont="1" applyFill="1" applyBorder="1" applyAlignment="1">
      <x:alignment horizontal="right" vertical="bottom"/>
    </x:xf>
    <x:xf numFmtId="0" fontId="4" fillId="0" borderId="4" xfId="0" applyNumberFormat="1" applyFont="1" applyFill="1" applyBorder="1" applyAlignment="1">
      <x:alignment horizontal="center" vertical="bottom"/>
    </x:xf>
    <x:xf numFmtId="0" fontId="6" fillId="4" borderId="0" xfId="0" applyNumberFormat="1" applyFont="1" applyFill="1" applyBorder="1" applyAlignment="1">
      <x:alignment vertical="bottom"/>
    </x:xf>
    <x:xf numFmtId="0" fontId="6" fillId="4" borderId="4" xfId="0" applyNumberFormat="1" applyFont="1" applyFill="1" applyBorder="1" applyAlignment="1">
      <x:alignment horizontal="center" vertical="bottom"/>
    </x:xf>
    <x:xf numFmtId="0" fontId="6" fillId="4" borderId="5" xfId="0" applyNumberFormat="1" applyFont="1" applyFill="1" applyBorder="1" applyAlignment="1">
      <x:alignment horizontal="center" vertical="bottom"/>
    </x:xf>
    <x:xf numFmtId="0" fontId="6" fillId="4" borderId="6" xfId="0" applyNumberFormat="1" applyFont="1" applyFill="1" applyBorder="1" applyAlignment="1">
      <x:alignment horizontal="center" vertical="bottom"/>
    </x:xf>
    <x:xf numFmtId="0" fontId="6" fillId="5" borderId="0" xfId="0" applyNumberFormat="1" applyFont="1" applyFill="1" applyBorder="1" applyAlignment="1">
      <x:alignment vertical="bottom"/>
    </x:xf>
    <x:xf numFmtId="0" fontId="6" fillId="5" borderId="4" xfId="0" applyNumberFormat="1" applyFont="1" applyFill="1" applyBorder="1" applyAlignment="1">
      <x:alignment horizontal="center" vertical="bottom"/>
    </x:xf>
    <x:xf numFmtId="0" fontId="3" fillId="6" borderId="0" xfId="0" applyNumberFormat="1" applyFont="1" applyFill="1" applyBorder="1"/>
    <x:xf numFmtId="0" fontId="0" fillId="7" borderId="0" xfId="0" applyNumberFormat="1" applyFont="1" applyFill="1" applyBorder="1" applyAlignment="1">
      <x:alignment vertical="bottom" wrapText="0"/>
    </x:xf>
    <x:xf numFmtId="0" fontId="7" fillId="7" borderId="0" xfId="0" applyNumberFormat="1" applyFont="1" applyFill="1" applyBorder="1" applyAlignment="1">
      <x:alignment vertical="bottom" wrapText="0"/>
    </x:xf>
    <x:xf numFmtId="0" fontId="7" fillId="7" borderId="0" xfId="0" applyNumberFormat="1" applyFont="1" applyFill="1" applyBorder="1" applyAlignment="1">
      <x:alignment horizontal="left" vertical="bottom" wrapText="0"/>
    </x:xf>
    <x:xf numFmtId="0" fontId="7" fillId="7" borderId="0" xfId="0" applyNumberFormat="1" applyFont="1" applyFill="1" applyBorder="1" applyAlignment="1">
      <x:alignment horizontal="left" vertical="center" wrapText="0"/>
    </x:xf>
    <x:xf numFmtId="0" fontId="0" fillId="8" borderId="0" xfId="0" applyNumberFormat="1" applyFont="1" applyFill="1" applyBorder="1" applyAlignment="1">
      <x:alignment vertical="bottom" wrapText="0"/>
    </x:xf>
    <x:xf numFmtId="0" fontId="8" fillId="8" borderId="0" xfId="0" applyNumberFormat="1" applyFont="1" applyFill="1" applyBorder="1" applyAlignment="1">
      <x:alignment vertical="bottom" wrapText="0"/>
    </x:xf>
    <x:xf numFmtId="0" fontId="8" fillId="8" borderId="0" xfId="0" applyNumberFormat="1" applyFont="1" applyFill="1" applyBorder="1" applyAlignment="1">
      <x:alignment horizontal="center" vertical="bottom" wrapText="0"/>
    </x:xf>
    <x:xf numFmtId="0" fontId="8" fillId="8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0" fontId="0" fillId="9" borderId="0" xfId="0" applyNumberFormat="1" applyFont="1" applyFill="1" applyBorder="1" applyAlignment="1">
      <x:alignment vertical="bottom" wrapText="0"/>
    </x:xf>
    <x:xf numFmtId="0" fontId="9" fillId="9" borderId="0" xfId="0" applyNumberFormat="1" applyFont="1" applyFill="1" applyBorder="1" applyAlignment="1">
      <x:alignment vertical="bottom" wrapText="0"/>
    </x:xf>
    <x:xf numFmtId="0" fontId="9" fillId="9" borderId="0" xfId="0" applyNumberFormat="1" applyFont="1" applyFill="1" applyBorder="1" applyAlignment="1">
      <x:alignment vertical="bottom" wrapText="1"/>
    </x:xf>
    <x:xf numFmtId="202" fontId="0" fillId="0" borderId="0" xfId="0" applyNumberFormat="1" applyFont="1" applyFill="1" applyBorder="1" applyAlignment="1">
      <x:alignment vertical="bottom" wrapText="0"/>
    </x:xf>
    <x:xf numFmtId="0" fontId="0" fillId="10" borderId="0" xfId="0" applyNumberFormat="1" applyFont="1" applyFill="1" applyBorder="1" applyAlignment="1">
      <x:alignment vertical="bottom" wrapText="0"/>
    </x:xf>
    <x:xf numFmtId="0" fontId="8" fillId="10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10" fillId="11" borderId="0" xfId="0" applyNumberFormat="1" applyFont="1" applyFill="1" applyBorder="1" applyAlignment="1">
      <x:alignment vertical="bottom" wrapText="0"/>
    </x:xf>
    <x:xf numFmtId="0" fontId="10" fillId="11" borderId="0" xfId="0" applyNumberFormat="1" applyFont="1" applyFill="1" applyBorder="1" applyAlignment="1">
      <x:alignment horizontal="center" vertical="bottom" wrapText="0"/>
    </x:xf>
    <x:xf numFmtId="0" fontId="0" fillId="12" borderId="0" xfId="0" applyNumberFormat="1" applyFont="1" applyFill="1" applyBorder="1" applyAlignment="1">
      <x:alignment vertical="bottom" wrapText="0"/>
    </x:xf>
    <x:xf numFmtId="0" fontId="11" fillId="12" borderId="0" xfId="0" applyNumberFormat="1" applyFont="1" applyFill="1" applyBorder="1" applyAlignment="1">
      <x:alignment vertical="bottom" wrapText="0"/>
    </x:xf>
    <x:xf numFmtId="0" fontId="11" fillId="12" borderId="0" xfId="0" applyNumberFormat="1" applyFont="1" applyFill="1" applyBorder="1" applyAlignment="1">
      <x:alignment horizontal="left" vertical="bottom" wrapText="0"/>
    </x:xf>
    <x:xf numFmtId="203" fontId="0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center" wrapText="0"/>
    </x:xf>
    <x:xf numFmtId="0" fontId="8" fillId="10" borderId="0" xfId="0" applyNumberFormat="1" applyFont="1" applyFill="1" applyBorder="1" applyAlignment="1">
      <x:alignment vertical="center" wrapText="0"/>
    </x:xf>
    <x:xf numFmtId="0" fontId="10" fillId="11" borderId="0" xfId="0" applyNumberFormat="1" applyFont="1" applyFill="1" applyBorder="1" applyAlignment="1">
      <x:alignment horizontal="center" vertical="center" wrapText="0"/>
    </x:xf>
    <x:xf numFmtId="0" fontId="11" fillId="12" borderId="0" xfId="0" applyNumberFormat="1" applyFont="1" applyFill="1" applyBorder="1" applyAlignment="1">
      <x:alignment horizontal="left" vertical="center" wrapText="0"/>
    </x:xf>
    <x:xf numFmtId="203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0" fontId="9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8d5e6608d477b" /><Relationship Type="http://schemas.openxmlformats.org/officeDocument/2006/relationships/theme" Target="/xl/theme/theme1.xml" Id="Rc5059e7087e84280" /><Relationship Type="http://schemas.openxmlformats.org/officeDocument/2006/relationships/sharedStrings" Target="/xl/sharedStrings.xml" Id="Rd11f90555da84e87" /><Relationship Type="http://schemas.openxmlformats.org/officeDocument/2006/relationships/worksheet" Target="/xl/worksheets/sheet1.xml" Id="Rfed53a16e45b4a59" /><Relationship Type="http://schemas.openxmlformats.org/officeDocument/2006/relationships/worksheet" Target="/xl/worksheets/sheet2.xml" Id="R441dd20ed49249cf" /><Relationship Type="http://schemas.openxmlformats.org/officeDocument/2006/relationships/worksheet" Target="/xl/worksheets/sheet3.xml" Id="R89164ab9d24c4515" /><Relationship Type="http://schemas.openxmlformats.org/officeDocument/2006/relationships/worksheet" Target="/xl/worksheets/sheet4.xml" Id="R820fc0ef00854c85" /><Relationship Type="http://schemas.openxmlformats.org/officeDocument/2006/relationships/worksheet" Target="/xl/worksheets/sheet5.xml" Id="R7b1faa23253f49ca" /><Relationship Type="http://schemas.openxmlformats.org/officeDocument/2006/relationships/worksheet" Target="/xl/worksheets/sheet6.xml" Id="Rd0b86c0a6571400c" /><Relationship Type="http://schemas.openxmlformats.org/officeDocument/2006/relationships/worksheet" Target="/xl/worksheets/sheet7.xml" Id="R1496c3959fa64828" /><Relationship Type="http://schemas.openxmlformats.org/officeDocument/2006/relationships/worksheet" Target="/xl/worksheets/sheet8.xml" Id="Rc83e7268190943c6" /><Relationship Type="http://schemas.openxmlformats.org/officeDocument/2006/relationships/worksheet" Target="/xl/worksheets/sheet9.xml" Id="R2a6543e93d2f4cdc" /><Relationship Type="http://schemas.openxmlformats.org/officeDocument/2006/relationships/worksheet" Target="/xl/worksheets/sheet10.xml" Id="R24ad56ad73594d82" /><Relationship Type="http://schemas.openxmlformats.org/officeDocument/2006/relationships/worksheet" Target="/xl/worksheets/sheet11.xml" Id="R0f1cb47e67c54ae6" /><Relationship Type="http://schemas.openxmlformats.org/officeDocument/2006/relationships/worksheet" Target="/xl/worksheets/sheet12.xml" Id="R76ae1287447b4e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f1e557198c46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Spesa totale per ruolo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Spesa</c:v>
          </c:tx>
          <c:cat>
            <c:strRef>
              <c:f>'Analisi Mercato'!$V$2:$V$5</c:f>
              <c:strCache>
                <c:ptCount val="0"/>
              </c:strCache>
            </c:strRef>
          </c:cat>
          <c:val>
            <c:numRef>
              <c:f>'Analisi Mercato'!$W$2:$W$5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f1e557198c46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ctionTransactions" displayName="AuctionTransactions" ref="A3:P203" headerRowCount="1">
  <x:tableColumns count="16">
    <x:tableColumn id="1" name="ID"/>
    <x:tableColumn id="2" name="Ruolo"/>
    <x:tableColumn id="3" name="Nome"/>
    <x:tableColumn id="4" name="Squadra"/>
    <x:tableColumn id="5" name="Acquirente"/>
    <x:tableColumn id="6" name="Prezzo"/>
    <x:tableColumn id="7" name="Qt. iniziale"/>
    <x:tableColumn id="8" name="Qt. attuale"/>
    <x:tableColumn id="9" name="Δ quotazione"/>
    <x:tableColumn id="10" name="FVM / 1000"/>
    <x:tableColumn id="11" name="Prezzo atteso modello"/>
    <x:tableColumn id="12" name="Residuo prezzo"/>
    <x:tableColumn id="13" name="Prezzo / atteso"/>
    <x:tableColumn id="14" name="Prezzo / Qt.I"/>
    <x:tableColumn id="15" name="Tier FVM"/>
    <x:tableColumn id="16" name="Foglio origine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221658e38b4740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.xml" Id="R4854bdea21cb4de1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8" width="6" customWidth="1"/>
    <x:col min="9" max="13" width="7" customWidth="1"/>
    <x:col min="14" max="26" width="8.710000038146973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</x:row>
    <x:row r="2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4" t="s">
        <x:v>8</x:v>
      </x:c>
      <x:c r="I2" s="4" t="s">
        <x:v>9</x:v>
      </x:c>
      <x:c r="J2" s="4" t="s">
        <x:v>10</x:v>
      </x:c>
      <x:c r="K2" s="4" t="s">
        <x:v>11</x:v>
      </x:c>
      <x:c r="L2" s="4" t="s">
        <x:v>12</x:v>
      </x:c>
      <x:c r="M2" s="4" t="s">
        <x:v>13</x:v>
      </x:c>
    </x:row>
    <x:row r="3">
      <x:c r="A3" s="4">
        <x:v>5876.0</x:v>
      </x:c>
      <x:c r="B3" s="4" t="s">
        <x:v>14</x:v>
      </x:c>
      <x:c r="C3" s="4" t="s">
        <x:v>15</x:v>
      </x:c>
      <x:c r="D3" s="4" t="s">
        <x:v>16</x:v>
      </x:c>
      <x:c r="E3" s="4" t="s">
        <x:v>17</x:v>
      </x:c>
      <x:c r="F3" s="4">
        <x:v>17.0</x:v>
      </x:c>
      <x:c r="G3" s="4">
        <x:v>16.0</x:v>
      </x:c>
      <x:c r="H3" s="4">
        <x:v>1.0</x:v>
      </x:c>
      <x:c r="I3" s="4">
        <x:v>17.0</x:v>
      </x:c>
      <x:c r="J3" s="4">
        <x:v>16.0</x:v>
      </x:c>
      <x:c r="K3" s="4">
        <x:v>1.0</x:v>
      </x:c>
      <x:c r="L3" s="4">
        <x:v>87.0</x:v>
      </x:c>
      <x:c r="M3" s="4">
        <x:v>87.0</x:v>
      </x:c>
    </x:row>
    <x:row r="4">
      <x:c r="A4" s="4">
        <x:v>2428.0</x:v>
      </x:c>
      <x:c r="B4" s="4" t="s">
        <x:v>14</x:v>
      </x:c>
      <x:c r="C4" s="4" t="s">
        <x:v>15</x:v>
      </x:c>
      <x:c r="D4" s="4" t="s">
        <x:v>18</x:v>
      </x:c>
      <x:c r="E4" s="4" t="s">
        <x:v>19</x:v>
      </x:c>
      <x:c r="F4" s="4">
        <x:v>16.0</x:v>
      </x:c>
      <x:c r="G4" s="4">
        <x:v>16.0</x:v>
      </x:c>
      <x:c r="H4" s="4">
        <x:v>0.0</x:v>
      </x:c>
      <x:c r="I4" s="4">
        <x:v>16.0</x:v>
      </x:c>
      <x:c r="J4" s="4">
        <x:v>16.0</x:v>
      </x:c>
      <x:c r="K4" s="4">
        <x:v>0.0</x:v>
      </x:c>
      <x:c r="L4" s="4">
        <x:v>86.0</x:v>
      </x:c>
      <x:c r="M4" s="4">
        <x:v>86.0</x:v>
      </x:c>
    </x:row>
    <x:row r="5">
      <x:c r="A5" s="4">
        <x:v>4312.0</x:v>
      </x:c>
      <x:c r="B5" s="4" t="s">
        <x:v>14</x:v>
      </x:c>
      <x:c r="C5" s="4" t="s">
        <x:v>15</x:v>
      </x:c>
      <x:c r="D5" s="4" t="s">
        <x:v>20</x:v>
      </x:c>
      <x:c r="E5" s="4" t="s">
        <x:v>21</x:v>
      </x:c>
      <x:c r="F5" s="4">
        <x:v>16.0</x:v>
      </x:c>
      <x:c r="G5" s="4">
        <x:v>16.0</x:v>
      </x:c>
      <x:c r="H5" s="4">
        <x:v>0.0</x:v>
      </x:c>
      <x:c r="I5" s="4">
        <x:v>16.0</x:v>
      </x:c>
      <x:c r="J5" s="4">
        <x:v>16.0</x:v>
      </x:c>
      <x:c r="K5" s="4">
        <x:v>0.0</x:v>
      </x:c>
      <x:c r="L5" s="4">
        <x:v>79.0</x:v>
      </x:c>
      <x:c r="M5" s="4">
        <x:v>79.0</x:v>
      </x:c>
    </x:row>
    <x:row r="6">
      <x:c r="A6" s="4">
        <x:v>572.0</x:v>
      </x:c>
      <x:c r="B6" s="4" t="s">
        <x:v>14</x:v>
      </x:c>
      <x:c r="C6" s="4" t="s">
        <x:v>15</x:v>
      </x:c>
      <x:c r="D6" s="4" t="s">
        <x:v>22</x:v>
      </x:c>
      <x:c r="E6" s="4" t="s">
        <x:v>23</x:v>
      </x:c>
      <x:c r="F6" s="4">
        <x:v>16.0</x:v>
      </x:c>
      <x:c r="G6" s="4">
        <x:v>16.0</x:v>
      </x:c>
      <x:c r="H6" s="4">
        <x:v>0.0</x:v>
      </x:c>
      <x:c r="I6" s="4">
        <x:v>16.0</x:v>
      </x:c>
      <x:c r="J6" s="4">
        <x:v>16.0</x:v>
      </x:c>
      <x:c r="K6" s="4">
        <x:v>0.0</x:v>
      </x:c>
      <x:c r="L6" s="4">
        <x:v>95.0</x:v>
      </x:c>
      <x:c r="M6" s="4">
        <x:v>95.0</x:v>
      </x:c>
    </x:row>
    <x:row r="7">
      <x:c r="A7" s="4">
        <x:v>5841.0</x:v>
      </x:c>
      <x:c r="B7" s="4" t="s">
        <x:v>14</x:v>
      </x:c>
      <x:c r="C7" s="4" t="s">
        <x:v>15</x:v>
      </x:c>
      <x:c r="D7" s="4" t="s">
        <x:v>24</x:v>
      </x:c>
      <x:c r="E7" s="4" t="s">
        <x:v>25</x:v>
      </x:c>
      <x:c r="F7" s="4">
        <x:v>16.0</x:v>
      </x:c>
      <x:c r="G7" s="4">
        <x:v>15.0</x:v>
      </x:c>
      <x:c r="H7" s="4">
        <x:v>1.0</x:v>
      </x:c>
      <x:c r="I7" s="4">
        <x:v>16.0</x:v>
      </x:c>
      <x:c r="J7" s="4">
        <x:v>15.0</x:v>
      </x:c>
      <x:c r="K7" s="4">
        <x:v>1.0</x:v>
      </x:c>
      <x:c r="L7" s="4">
        <x:v>85.0</x:v>
      </x:c>
      <x:c r="M7" s="4">
        <x:v>85.0</x:v>
      </x:c>
    </x:row>
    <x:row r="8">
      <x:c r="A8" s="4">
        <x:v>4431.0</x:v>
      </x:c>
      <x:c r="B8" s="4" t="s">
        <x:v>14</x:v>
      </x:c>
      <x:c r="C8" s="4" t="s">
        <x:v>15</x:v>
      </x:c>
      <x:c r="D8" s="4" t="s">
        <x:v>26</x:v>
      </x:c>
      <x:c r="E8" s="4" t="s">
        <x:v>27</x:v>
      </x:c>
      <x:c r="F8" s="4">
        <x:v>14.0</x:v>
      </x:c>
      <x:c r="G8" s="4">
        <x:v>14.0</x:v>
      </x:c>
      <x:c r="H8" s="4">
        <x:v>0.0</x:v>
      </x:c>
      <x:c r="I8" s="4">
        <x:v>14.0</x:v>
      </x:c>
      <x:c r="J8" s="4">
        <x:v>14.0</x:v>
      </x:c>
      <x:c r="K8" s="4">
        <x:v>0.0</x:v>
      </x:c>
      <x:c r="L8" s="4">
        <x:v>66.0</x:v>
      </x:c>
      <x:c r="M8" s="4">
        <x:v>66.0</x:v>
      </x:c>
    </x:row>
    <x:row r="9">
      <x:c r="A9" s="4">
        <x:v>2521.0</x:v>
      </x:c>
      <x:c r="B9" s="4" t="s">
        <x:v>14</x:v>
      </x:c>
      <x:c r="C9" s="4" t="s">
        <x:v>15</x:v>
      </x:c>
      <x:c r="D9" s="4" t="s">
        <x:v>28</x:v>
      </x:c>
      <x:c r="E9" s="4" t="s">
        <x:v>29</x:v>
      </x:c>
      <x:c r="F9" s="4">
        <x:v>14.0</x:v>
      </x:c>
      <x:c r="G9" s="4">
        <x:v>14.0</x:v>
      </x:c>
      <x:c r="H9" s="4">
        <x:v>0.0</x:v>
      </x:c>
      <x:c r="I9" s="4">
        <x:v>14.0</x:v>
      </x:c>
      <x:c r="J9" s="4">
        <x:v>14.0</x:v>
      </x:c>
      <x:c r="K9" s="4">
        <x:v>0.0</x:v>
      </x:c>
      <x:c r="L9" s="4">
        <x:v>64.0</x:v>
      </x:c>
      <x:c r="M9" s="4">
        <x:v>64.0</x:v>
      </x:c>
    </x:row>
    <x:row r="10">
      <x:c r="A10" s="4">
        <x:v>2814.0</x:v>
      </x:c>
      <x:c r="B10" s="4" t="s">
        <x:v>14</x:v>
      </x:c>
      <x:c r="C10" s="4" t="s">
        <x:v>15</x:v>
      </x:c>
      <x:c r="D10" s="4" t="s">
        <x:v>30</x:v>
      </x:c>
      <x:c r="E10" s="4" t="s">
        <x:v>31</x:v>
      </x:c>
      <x:c r="F10" s="4">
        <x:v>12.0</x:v>
      </x:c>
      <x:c r="G10" s="4">
        <x:v>12.0</x:v>
      </x:c>
      <x:c r="H10" s="4">
        <x:v>0.0</x:v>
      </x:c>
      <x:c r="I10" s="4">
        <x:v>12.0</x:v>
      </x:c>
      <x:c r="J10" s="4">
        <x:v>12.0</x:v>
      </x:c>
      <x:c r="K10" s="4">
        <x:v>0.0</x:v>
      </x:c>
      <x:c r="L10" s="4">
        <x:v>55.0</x:v>
      </x:c>
      <x:c r="M10" s="4">
        <x:v>55.0</x:v>
      </x:c>
    </x:row>
    <x:row r="11">
      <x:c r="A11" s="4">
        <x:v>133.0</x:v>
      </x:c>
      <x:c r="B11" s="4" t="s">
        <x:v>14</x:v>
      </x:c>
      <x:c r="C11" s="4" t="s">
        <x:v>15</x:v>
      </x:c>
      <x:c r="D11" s="4" t="s">
        <x:v>32</x:v>
      </x:c>
      <x:c r="E11" s="4" t="s">
        <x:v>33</x:v>
      </x:c>
      <x:c r="F11" s="4">
        <x:v>11.0</x:v>
      </x:c>
      <x:c r="G11" s="4">
        <x:v>10.0</x:v>
      </x:c>
      <x:c r="H11" s="4">
        <x:v>1.0</x:v>
      </x:c>
      <x:c r="I11" s="4">
        <x:v>11.0</x:v>
      </x:c>
      <x:c r="J11" s="4">
        <x:v>10.0</x:v>
      </x:c>
      <x:c r="K11" s="4">
        <x:v>1.0</x:v>
      </x:c>
      <x:c r="L11" s="4">
        <x:v>50.0</x:v>
      </x:c>
      <x:c r="M11" s="4">
        <x:v>50.0</x:v>
      </x:c>
    </x:row>
    <x:row r="12">
      <x:c r="A12" s="4">
        <x:v>6966.0</x:v>
      </x:c>
      <x:c r="B12" s="4" t="s">
        <x:v>14</x:v>
      </x:c>
      <x:c r="C12" s="4" t="s">
        <x:v>15</x:v>
      </x:c>
      <x:c r="D12" s="4" t="s">
        <x:v>34</x:v>
      </x:c>
      <x:c r="E12" s="4" t="s">
        <x:v>35</x:v>
      </x:c>
      <x:c r="F12" s="4">
        <x:v>11.0</x:v>
      </x:c>
      <x:c r="G12" s="4">
        <x:v>10.0</x:v>
      </x:c>
      <x:c r="H12" s="4">
        <x:v>1.0</x:v>
      </x:c>
      <x:c r="I12" s="4">
        <x:v>11.0</x:v>
      </x:c>
      <x:c r="J12" s="4">
        <x:v>10.0</x:v>
      </x:c>
      <x:c r="K12" s="4">
        <x:v>1.0</x:v>
      </x:c>
      <x:c r="L12" s="4">
        <x:v>34.0</x:v>
      </x:c>
      <x:c r="M12" s="4">
        <x:v>34.0</x:v>
      </x:c>
    </x:row>
    <x:row r="13">
      <x:c r="A13" s="4">
        <x:v>188.0</x:v>
      </x:c>
      <x:c r="B13" s="4" t="s">
        <x:v>14</x:v>
      </x:c>
      <x:c r="C13" s="4" t="s">
        <x:v>15</x:v>
      </x:c>
      <x:c r="D13" s="4" t="s">
        <x:v>36</x:v>
      </x:c>
      <x:c r="E13" s="4" t="s">
        <x:v>37</x:v>
      </x:c>
      <x:c r="F13" s="4">
        <x:v>9.0</x:v>
      </x:c>
      <x:c r="G13" s="4">
        <x:v>8.0</x:v>
      </x:c>
      <x:c r="H13" s="4">
        <x:v>1.0</x:v>
      </x:c>
      <x:c r="I13" s="4">
        <x:v>9.0</x:v>
      </x:c>
      <x:c r="J13" s="4">
        <x:v>8.0</x:v>
      </x:c>
      <x:c r="K13" s="4">
        <x:v>1.0</x:v>
      </x:c>
      <x:c r="L13" s="4">
        <x:v>30.0</x:v>
      </x:c>
      <x:c r="M13" s="4">
        <x:v>30.0</x:v>
      </x:c>
    </x:row>
    <x:row r="14">
      <x:c r="A14" s="4">
        <x:v>4360.0</x:v>
      </x:c>
      <x:c r="B14" s="4" t="s">
        <x:v>14</x:v>
      </x:c>
      <x:c r="C14" s="4" t="s">
        <x:v>15</x:v>
      </x:c>
      <x:c r="D14" s="4" t="s">
        <x:v>38</x:v>
      </x:c>
      <x:c r="E14" s="4" t="s">
        <x:v>39</x:v>
      </x:c>
      <x:c r="F14" s="4">
        <x:v>8.0</x:v>
      </x:c>
      <x:c r="G14" s="4">
        <x:v>7.0</x:v>
      </x:c>
      <x:c r="H14" s="4">
        <x:v>1.0</x:v>
      </x:c>
      <x:c r="I14" s="4">
        <x:v>8.0</x:v>
      </x:c>
      <x:c r="J14" s="4">
        <x:v>7.0</x:v>
      </x:c>
      <x:c r="K14" s="4">
        <x:v>1.0</x:v>
      </x:c>
      <x:c r="L14" s="4">
        <x:v>19.0</x:v>
      </x:c>
      <x:c r="M14" s="4">
        <x:v>19.0</x:v>
      </x:c>
    </x:row>
    <x:row r="15">
      <x:c r="A15" s="4">
        <x:v>7179.0</x:v>
      </x:c>
      <x:c r="B15" s="4" t="s">
        <x:v>14</x:v>
      </x:c>
      <x:c r="C15" s="4" t="s">
        <x:v>15</x:v>
      </x:c>
      <x:c r="D15" s="4" t="s">
        <x:v>40</x:v>
      </x:c>
      <x:c r="E15" s="4" t="s">
        <x:v>41</x:v>
      </x:c>
      <x:c r="F15" s="4">
        <x:v>8.0</x:v>
      </x:c>
      <x:c r="G15" s="4">
        <x:v>9.0</x:v>
      </x:c>
      <x:c r="H15" s="4">
        <x:v>-1.0</x:v>
      </x:c>
      <x:c r="I15" s="4">
        <x:v>8.0</x:v>
      </x:c>
      <x:c r="J15" s="4">
        <x:v>9.0</x:v>
      </x:c>
      <x:c r="K15" s="4">
        <x:v>-1.0</x:v>
      </x:c>
      <x:c r="L15" s="4">
        <x:v>33.0</x:v>
      </x:c>
      <x:c r="M15" s="4">
        <x:v>33.0</x:v>
      </x:c>
    </x:row>
    <x:row r="16">
      <x:c r="A16" s="4">
        <x:v>2134.0</x:v>
      </x:c>
      <x:c r="B16" s="4" t="s">
        <x:v>14</x:v>
      </x:c>
      <x:c r="C16" s="4" t="s">
        <x:v>15</x:v>
      </x:c>
      <x:c r="D16" s="4" t="s">
        <x:v>42</x:v>
      </x:c>
      <x:c r="E16" s="4" t="s">
        <x:v>43</x:v>
      </x:c>
      <x:c r="F16" s="4">
        <x:v>7.0</x:v>
      </x:c>
      <x:c r="G16" s="4">
        <x:v>6.0</x:v>
      </x:c>
      <x:c r="H16" s="4">
        <x:v>1.0</x:v>
      </x:c>
      <x:c r="I16" s="4">
        <x:v>7.0</x:v>
      </x:c>
      <x:c r="J16" s="4">
        <x:v>6.0</x:v>
      </x:c>
      <x:c r="K16" s="4">
        <x:v>1.0</x:v>
      </x:c>
      <x:c r="L16" s="4">
        <x:v>18.0</x:v>
      </x:c>
      <x:c r="M16" s="4">
        <x:v>18.0</x:v>
      </x:c>
    </x:row>
    <x:row r="17">
      <x:c r="A17" s="4">
        <x:v>6641.0</x:v>
      </x:c>
      <x:c r="B17" s="4" t="s">
        <x:v>14</x:v>
      </x:c>
      <x:c r="C17" s="4" t="s">
        <x:v>15</x:v>
      </x:c>
      <x:c r="D17" s="4" t="s">
        <x:v>44</x:v>
      </x:c>
      <x:c r="E17" s="4" t="s">
        <x:v>45</x:v>
      </x:c>
      <x:c r="F17" s="4">
        <x:v>7.0</x:v>
      </x:c>
      <x:c r="G17" s="4">
        <x:v>7.0</x:v>
      </x:c>
      <x:c r="H17" s="4">
        <x:v>0.0</x:v>
      </x:c>
      <x:c r="I17" s="4">
        <x:v>7.0</x:v>
      </x:c>
      <x:c r="J17" s="4">
        <x:v>7.0</x:v>
      </x:c>
      <x:c r="K17" s="4">
        <x:v>0.0</x:v>
      </x:c>
      <x:c r="L17" s="4">
        <x:v>14.0</x:v>
      </x:c>
      <x:c r="M17" s="4">
        <x:v>14.0</x:v>
      </x:c>
    </x:row>
    <x:row r="18">
      <x:c r="A18" s="4">
        <x:v>761.0</x:v>
      </x:c>
      <x:c r="B18" s="4" t="s">
        <x:v>14</x:v>
      </x:c>
      <x:c r="C18" s="4" t="s">
        <x:v>15</x:v>
      </x:c>
      <x:c r="D18" s="4" t="s">
        <x:v>46</x:v>
      </x:c>
      <x:c r="E18" s="4" t="s">
        <x:v>47</x:v>
      </x:c>
      <x:c r="F18" s="4">
        <x:v>6.0</x:v>
      </x:c>
      <x:c r="G18" s="4">
        <x:v>5.0</x:v>
      </x:c>
      <x:c r="H18" s="4">
        <x:v>1.0</x:v>
      </x:c>
      <x:c r="I18" s="4">
        <x:v>6.0</x:v>
      </x:c>
      <x:c r="J18" s="4">
        <x:v>5.0</x:v>
      </x:c>
      <x:c r="K18" s="4">
        <x:v>1.0</x:v>
      </x:c>
      <x:c r="L18" s="4">
        <x:v>13.0</x:v>
      </x:c>
      <x:c r="M18" s="4">
        <x:v>13.0</x:v>
      </x:c>
    </x:row>
    <x:row r="19">
      <x:c r="A19" s="4">
        <x:v>4867.0</x:v>
      </x:c>
      <x:c r="B19" s="4" t="s">
        <x:v>14</x:v>
      </x:c>
      <x:c r="C19" s="4" t="s">
        <x:v>15</x:v>
      </x:c>
      <x:c r="D19" s="4" t="s">
        <x:v>48</x:v>
      </x:c>
      <x:c r="E19" s="4" t="s">
        <x:v>49</x:v>
      </x:c>
      <x:c r="F19" s="4">
        <x:v>6.0</x:v>
      </x:c>
      <x:c r="G19" s="4">
        <x:v>7.0</x:v>
      </x:c>
      <x:c r="H19" s="4">
        <x:v>-1.0</x:v>
      </x:c>
      <x:c r="I19" s="4">
        <x:v>6.0</x:v>
      </x:c>
      <x:c r="J19" s="4">
        <x:v>7.0</x:v>
      </x:c>
      <x:c r="K19" s="4">
        <x:v>-1.0</x:v>
      </x:c>
      <x:c r="L19" s="4">
        <x:v>7.0</x:v>
      </x:c>
      <x:c r="M19" s="4">
        <x:v>7.0</x:v>
      </x:c>
    </x:row>
    <x:row r="20">
      <x:c r="A20" s="4">
        <x:v>6462.0</x:v>
      </x:c>
      <x:c r="B20" s="4" t="s">
        <x:v>14</x:v>
      </x:c>
      <x:c r="C20" s="4" t="s">
        <x:v>15</x:v>
      </x:c>
      <x:c r="D20" s="4" t="s">
        <x:v>50</x:v>
      </x:c>
      <x:c r="E20" s="4" t="s">
        <x:v>51</x:v>
      </x:c>
      <x:c r="F20" s="4">
        <x:v>5.0</x:v>
      </x:c>
      <x:c r="G20" s="4">
        <x:v>6.0</x:v>
      </x:c>
      <x:c r="H20" s="4">
        <x:v>-1.0</x:v>
      </x:c>
      <x:c r="I20" s="4">
        <x:v>5.0</x:v>
      </x:c>
      <x:c r="J20" s="4">
        <x:v>6.0</x:v>
      </x:c>
      <x:c r="K20" s="4">
        <x:v>-1.0</x:v>
      </x:c>
      <x:c r="L20" s="4">
        <x:v>15.0</x:v>
      </x:c>
      <x:c r="M20" s="4">
        <x:v>15.0</x:v>
      </x:c>
    </x:row>
    <x:row r="21" ht="15.75" customHeight="1">
      <x:c r="A21" s="4">
        <x:v>6842.0</x:v>
      </x:c>
      <x:c r="B21" s="4" t="s">
        <x:v>14</x:v>
      </x:c>
      <x:c r="C21" s="4" t="s">
        <x:v>15</x:v>
      </x:c>
      <x:c r="D21" s="4" t="s">
        <x:v>52</x:v>
      </x:c>
      <x:c r="E21" s="4" t="s">
        <x:v>51</x:v>
      </x:c>
      <x:c r="F21" s="4">
        <x:v>5.0</x:v>
      </x:c>
      <x:c r="G21" s="4">
        <x:v>4.0</x:v>
      </x:c>
      <x:c r="H21" s="4">
        <x:v>1.0</x:v>
      </x:c>
      <x:c r="I21" s="4">
        <x:v>5.0</x:v>
      </x:c>
      <x:c r="J21" s="4">
        <x:v>4.0</x:v>
      </x:c>
      <x:c r="K21" s="4">
        <x:v>1.0</x:v>
      </x:c>
      <x:c r="L21" s="4">
        <x:v>11.0</x:v>
      </x:c>
      <x:c r="M21" s="4">
        <x:v>11.0</x:v>
      </x:c>
    </x:row>
    <x:row r="22" ht="15.75" customHeight="1">
      <x:c r="A22" s="4">
        <x:v>2170.0</x:v>
      </x:c>
      <x:c r="B22" s="4" t="s">
        <x:v>14</x:v>
      </x:c>
      <x:c r="C22" s="4" t="s">
        <x:v>15</x:v>
      </x:c>
      <x:c r="D22" s="4" t="s">
        <x:v>53</x:v>
      </x:c>
      <x:c r="E22" s="4" t="s">
        <x:v>23</x:v>
      </x:c>
      <x:c r="F22" s="4">
        <x:v>4.0</x:v>
      </x:c>
      <x:c r="G22" s="4">
        <x:v>4.0</x:v>
      </x:c>
      <x:c r="H22" s="4">
        <x:v>0.0</x:v>
      </x:c>
      <x:c r="I22" s="4">
        <x:v>4.0</x:v>
      </x:c>
      <x:c r="J22" s="4">
        <x:v>4.0</x:v>
      </x:c>
      <x:c r="K22" s="4">
        <x:v>0.0</x:v>
      </x:c>
      <x:c r="L22" s="4">
        <x:v>9.0</x:v>
      </x:c>
      <x:c r="M22" s="4">
        <x:v>9.0</x:v>
      </x:c>
    </x:row>
    <x:row r="23" ht="15.75" customHeight="1">
      <x:c r="A23" s="4">
        <x:v>2861.0</x:v>
      </x:c>
      <x:c r="B23" s="4" t="s">
        <x:v>14</x:v>
      </x:c>
      <x:c r="C23" s="4" t="s">
        <x:v>15</x:v>
      </x:c>
      <x:c r="D23" s="4" t="s">
        <x:v>54</x:v>
      </x:c>
      <x:c r="E23" s="4" t="s">
        <x:v>55</x:v>
      </x:c>
      <x:c r="F23" s="4">
        <x:v>4.0</x:v>
      </x:c>
      <x:c r="G23" s="4">
        <x:v>3.0</x:v>
      </x:c>
      <x:c r="H23" s="4">
        <x:v>1.0</x:v>
      </x:c>
      <x:c r="I23" s="4">
        <x:v>4.0</x:v>
      </x:c>
      <x:c r="J23" s="4">
        <x:v>3.0</x:v>
      </x:c>
      <x:c r="K23" s="4">
        <x:v>1.0</x:v>
      </x:c>
      <x:c r="L23" s="4">
        <x:v>12.0</x:v>
      </x:c>
      <x:c r="M23" s="4">
        <x:v>12.0</x:v>
      </x:c>
    </x:row>
    <x:row r="24" ht="15.75" customHeight="1">
      <x:c r="A24" s="4">
        <x:v>4957.0</x:v>
      </x:c>
      <x:c r="B24" s="4" t="s">
        <x:v>14</x:v>
      </x:c>
      <x:c r="C24" s="4" t="s">
        <x:v>15</x:v>
      </x:c>
      <x:c r="D24" s="4" t="s">
        <x:v>56</x:v>
      </x:c>
      <x:c r="E24" s="4" t="s">
        <x:v>57</x:v>
      </x:c>
      <x:c r="F24" s="4">
        <x:v>4.0</x:v>
      </x:c>
      <x:c r="G24" s="4">
        <x:v>5.0</x:v>
      </x:c>
      <x:c r="H24" s="4">
        <x:v>-1.0</x:v>
      </x:c>
      <x:c r="I24" s="4">
        <x:v>4.0</x:v>
      </x:c>
      <x:c r="J24" s="4">
        <x:v>5.0</x:v>
      </x:c>
      <x:c r="K24" s="4">
        <x:v>-1.0</x:v>
      </x:c>
      <x:c r="L24" s="4">
        <x:v>10.0</x:v>
      </x:c>
      <x:c r="M24" s="4">
        <x:v>10.0</x:v>
      </x:c>
    </x:row>
    <x:row r="25" ht="15.75" customHeight="1">
      <x:c r="A25" s="4">
        <x:v>2722.0</x:v>
      </x:c>
      <x:c r="B25" s="4" t="s">
        <x:v>14</x:v>
      </x:c>
      <x:c r="C25" s="4" t="s">
        <x:v>15</x:v>
      </x:c>
      <x:c r="D25" s="4" t="s">
        <x:v>58</x:v>
      </x:c>
      <x:c r="E25" s="4" t="s">
        <x:v>33</x:v>
      </x:c>
      <x:c r="F25" s="4">
        <x:v>3.0</x:v>
      </x:c>
      <x:c r="G25" s="4">
        <x:v>3.0</x:v>
      </x:c>
      <x:c r="H25" s="4">
        <x:v>0.0</x:v>
      </x:c>
      <x:c r="I25" s="4">
        <x:v>3.0</x:v>
      </x:c>
      <x:c r="J25" s="4">
        <x:v>3.0</x:v>
      </x:c>
      <x:c r="K25" s="4">
        <x:v>0.0</x:v>
      </x:c>
      <x:c r="L25" s="4">
        <x:v>5.0</x:v>
      </x:c>
      <x:c r="M25" s="4">
        <x:v>5.0</x:v>
      </x:c>
    </x:row>
    <x:row r="26" ht="15.75" customHeight="1">
      <x:c r="A26" s="4">
        <x:v>6482.0</x:v>
      </x:c>
      <x:c r="B26" s="4" t="s">
        <x:v>14</x:v>
      </x:c>
      <x:c r="C26" s="4" t="s">
        <x:v>15</x:v>
      </x:c>
      <x:c r="D26" s="4" t="s">
        <x:v>59</x:v>
      </x:c>
      <x:c r="E26" s="4" t="s">
        <x:v>31</x:v>
      </x:c>
      <x:c r="F26" s="4">
        <x:v>3.0</x:v>
      </x:c>
      <x:c r="G26" s="4">
        <x:v>3.0</x:v>
      </x:c>
      <x:c r="H26" s="4">
        <x:v>0.0</x:v>
      </x:c>
      <x:c r="I26" s="4">
        <x:v>3.0</x:v>
      </x:c>
      <x:c r="J26" s="4">
        <x:v>3.0</x:v>
      </x:c>
      <x:c r="K26" s="4">
        <x:v>0.0</x:v>
      </x:c>
      <x:c r="L26" s="4">
        <x:v>3.0</x:v>
      </x:c>
      <x:c r="M26" s="4">
        <x:v>3.0</x:v>
      </x:c>
    </x:row>
    <x:row r="27" ht="15.75" customHeight="1">
      <x:c r="A27" s="4">
        <x:v>574.0</x:v>
      </x:c>
      <x:c r="B27" s="4" t="s">
        <x:v>14</x:v>
      </x:c>
      <x:c r="C27" s="4" t="s">
        <x:v>15</x:v>
      </x:c>
      <x:c r="D27" s="4" t="s">
        <x:v>60</x:v>
      </x:c>
      <x:c r="E27" s="4" t="s">
        <x:v>55</x:v>
      </x:c>
      <x:c r="F27" s="4">
        <x:v>3.0</x:v>
      </x:c>
      <x:c r="G27" s="4">
        <x:v>3.0</x:v>
      </x:c>
      <x:c r="H27" s="4">
        <x:v>0.0</x:v>
      </x:c>
      <x:c r="I27" s="4">
        <x:v>3.0</x:v>
      </x:c>
      <x:c r="J27" s="4">
        <x:v>3.0</x:v>
      </x:c>
      <x:c r="K27" s="4">
        <x:v>0.0</x:v>
      </x:c>
      <x:c r="L27" s="4">
        <x:v>3.0</x:v>
      </x:c>
      <x:c r="M27" s="4">
        <x:v>3.0</x:v>
      </x:c>
    </x:row>
    <x:row r="28" ht="15.75" customHeight="1">
      <x:c r="A28" s="4">
        <x:v>4236.0</x:v>
      </x:c>
      <x:c r="B28" s="4" t="s">
        <x:v>14</x:v>
      </x:c>
      <x:c r="C28" s="4" t="s">
        <x:v>15</x:v>
      </x:c>
      <x:c r="D28" s="4" t="s">
        <x:v>61</x:v>
      </x:c>
      <x:c r="E28" s="4" t="s">
        <x:v>49</x:v>
      </x:c>
      <x:c r="F28" s="4">
        <x:v>3.0</x:v>
      </x:c>
      <x:c r="G28" s="4">
        <x:v>3.0</x:v>
      </x:c>
      <x:c r="H28" s="4">
        <x:v>0.0</x:v>
      </x:c>
      <x:c r="I28" s="4">
        <x:v>3.0</x:v>
      </x:c>
      <x:c r="J28" s="4">
        <x:v>3.0</x:v>
      </x:c>
      <x:c r="K28" s="4">
        <x:v>0.0</x:v>
      </x:c>
      <x:c r="L28" s="4">
        <x:v>7.0</x:v>
      </x:c>
      <x:c r="M28" s="4">
        <x:v>7.0</x:v>
      </x:c>
    </x:row>
    <x:row r="29" ht="15.75" customHeight="1">
      <x:c r="A29" s="4">
        <x:v>5116.0</x:v>
      </x:c>
      <x:c r="B29" s="4" t="s">
        <x:v>14</x:v>
      </x:c>
      <x:c r="C29" s="4" t="s">
        <x:v>15</x:v>
      </x:c>
      <x:c r="D29" s="4" t="s">
        <x:v>62</x:v>
      </x:c>
      <x:c r="E29" s="4" t="s">
        <x:v>19</x:v>
      </x:c>
      <x:c r="F29" s="4">
        <x:v>2.0</x:v>
      </x:c>
      <x:c r="G29" s="4">
        <x:v>2.0</x:v>
      </x:c>
      <x:c r="H29" s="4">
        <x:v>0.0</x:v>
      </x:c>
      <x:c r="I29" s="4">
        <x:v>2.0</x:v>
      </x:c>
      <x:c r="J29" s="4">
        <x:v>2.0</x:v>
      </x:c>
      <x:c r="K29" s="4">
        <x:v>0.0</x:v>
      </x:c>
      <x:c r="L29" s="4">
        <x:v>3.0</x:v>
      </x:c>
      <x:c r="M29" s="4">
        <x:v>3.0</x:v>
      </x:c>
    </x:row>
    <x:row r="30" ht="15.75" customHeight="1">
      <x:c r="A30" s="4">
        <x:v>2297.0</x:v>
      </x:c>
      <x:c r="B30" s="4" t="s">
        <x:v>14</x:v>
      </x:c>
      <x:c r="C30" s="4" t="s">
        <x:v>15</x:v>
      </x:c>
      <x:c r="D30" s="4" t="s">
        <x:v>63</x:v>
      </x:c>
      <x:c r="E30" s="4" t="s">
        <x:v>27</x:v>
      </x:c>
      <x:c r="F30" s="4">
        <x:v>1.0</x:v>
      </x:c>
      <x:c r="G30" s="4">
        <x:v>1.0</x:v>
      </x:c>
      <x:c r="H30" s="4">
        <x:v>0.0</x:v>
      </x:c>
      <x:c r="I30" s="4">
        <x:v>1.0</x:v>
      </x:c>
      <x:c r="J30" s="4">
        <x:v>1.0</x:v>
      </x:c>
      <x:c r="K30" s="4">
        <x:v>0.0</x:v>
      </x:c>
      <x:c r="L30" s="4">
        <x:v>1.0</x:v>
      </x:c>
      <x:c r="M30" s="4">
        <x:v>1.0</x:v>
      </x:c>
    </x:row>
    <x:row r="31" ht="15.75" customHeight="1">
      <x:c r="A31" s="4">
        <x:v>4.0</x:v>
      </x:c>
      <x:c r="B31" s="4" t="s">
        <x:v>14</x:v>
      </x:c>
      <x:c r="C31" s="4" t="s">
        <x:v>15</x:v>
      </x:c>
      <x:c r="D31" s="4" t="s">
        <x:v>64</x:v>
      </x:c>
      <x:c r="E31" s="4" t="s">
        <x:v>27</x:v>
      </x:c>
      <x:c r="F31" s="4">
        <x:v>1.0</x:v>
      </x:c>
      <x:c r="G31" s="4">
        <x:v>1.0</x:v>
      </x:c>
      <x:c r="H31" s="4">
        <x:v>0.0</x:v>
      </x:c>
      <x:c r="I31" s="4">
        <x:v>1.0</x:v>
      </x:c>
      <x:c r="J31" s="4">
        <x:v>1.0</x:v>
      </x:c>
      <x:c r="K31" s="4">
        <x:v>0.0</x:v>
      </x:c>
      <x:c r="L31" s="4">
        <x:v>1.0</x:v>
      </x:c>
      <x:c r="M31" s="4">
        <x:v>1.0</x:v>
      </x:c>
    </x:row>
    <x:row r="32" ht="15.75" customHeight="1">
      <x:c r="A32" s="4">
        <x:v>7172.0</x:v>
      </x:c>
      <x:c r="B32" s="4" t="s">
        <x:v>14</x:v>
      </x:c>
      <x:c r="C32" s="4" t="s">
        <x:v>15</x:v>
      </x:c>
      <x:c r="D32" s="4" t="s">
        <x:v>65</x:v>
      </x:c>
      <x:c r="E32" s="4" t="s">
        <x:v>33</x:v>
      </x:c>
      <x:c r="F32" s="4">
        <x:v>1.0</x:v>
      </x:c>
      <x:c r="G32" s="4">
        <x:v>1.0</x:v>
      </x:c>
      <x:c r="H32" s="4">
        <x:v>0.0</x:v>
      </x:c>
      <x:c r="I32" s="4">
        <x:v>1.0</x:v>
      </x:c>
      <x:c r="J32" s="4">
        <x:v>1.0</x:v>
      </x:c>
      <x:c r="K32" s="4">
        <x:v>0.0</x:v>
      </x:c>
      <x:c r="L32" s="4">
        <x:v>1.0</x:v>
      </x:c>
      <x:c r="M32" s="4">
        <x:v>1.0</x:v>
      </x:c>
    </x:row>
    <x:row r="33" ht="15.75" customHeight="1">
      <x:c r="A33" s="4">
        <x:v>4929.0</x:v>
      </x:c>
      <x:c r="B33" s="4" t="s">
        <x:v>14</x:v>
      </x:c>
      <x:c r="C33" s="4" t="s">
        <x:v>15</x:v>
      </x:c>
      <x:c r="D33" s="4" t="s">
        <x:v>66</x:v>
      </x:c>
      <x:c r="E33" s="4" t="s">
        <x:v>39</x:v>
      </x:c>
      <x:c r="F33" s="4">
        <x:v>1.0</x:v>
      </x:c>
      <x:c r="G33" s="4">
        <x:v>1.0</x:v>
      </x:c>
      <x:c r="H33" s="4">
        <x:v>0.0</x:v>
      </x:c>
      <x:c r="I33" s="4">
        <x:v>1.0</x:v>
      </x:c>
      <x:c r="J33" s="4">
        <x:v>1.0</x:v>
      </x:c>
      <x:c r="K33" s="4">
        <x:v>0.0</x:v>
      </x:c>
      <x:c r="L33" s="4">
        <x:v>1.0</x:v>
      </x:c>
      <x:c r="M33" s="4">
        <x:v>1.0</x:v>
      </x:c>
    </x:row>
    <x:row r="34" ht="15.75" customHeight="1">
      <x:c r="A34" s="4">
        <x:v>3.0</x:v>
      </x:c>
      <x:c r="B34" s="4" t="s">
        <x:v>14</x:v>
      </x:c>
      <x:c r="C34" s="4" t="s">
        <x:v>15</x:v>
      </x:c>
      <x:c r="D34" s="4" t="s">
        <x:v>67</x:v>
      </x:c>
      <x:c r="E34" s="4" t="s">
        <x:v>39</x:v>
      </x:c>
      <x:c r="F34" s="4">
        <x:v>1.0</x:v>
      </x:c>
      <x:c r="G34" s="4">
        <x:v>1.0</x:v>
      </x:c>
      <x:c r="H34" s="4">
        <x:v>0.0</x:v>
      </x:c>
      <x:c r="I34" s="4">
        <x:v>1.0</x:v>
      </x:c>
      <x:c r="J34" s="4">
        <x:v>1.0</x:v>
      </x:c>
      <x:c r="K34" s="4">
        <x:v>0.0</x:v>
      </x:c>
      <x:c r="L34" s="4">
        <x:v>1.0</x:v>
      </x:c>
      <x:c r="M34" s="4">
        <x:v>1.0</x:v>
      </x:c>
    </x:row>
    <x:row r="35" ht="15.75" customHeight="1">
      <x:c r="A35" s="4">
        <x:v>2809.0</x:v>
      </x:c>
      <x:c r="B35" s="4" t="s">
        <x:v>14</x:v>
      </x:c>
      <x:c r="C35" s="4" t="s">
        <x:v>15</x:v>
      </x:c>
      <x:c r="D35" s="4" t="s">
        <x:v>68</x:v>
      </x:c>
      <x:c r="E35" s="4" t="s">
        <x:v>35</x:v>
      </x:c>
      <x:c r="F35" s="4">
        <x:v>1.0</x:v>
      </x:c>
      <x:c r="G35" s="4">
        <x:v>1.0</x:v>
      </x:c>
      <x:c r="H35" s="4">
        <x:v>0.0</x:v>
      </x:c>
      <x:c r="I35" s="4">
        <x:v>1.0</x:v>
      </x:c>
      <x:c r="J35" s="4">
        <x:v>1.0</x:v>
      </x:c>
      <x:c r="K35" s="4">
        <x:v>0.0</x:v>
      </x:c>
      <x:c r="L35" s="4">
        <x:v>1.0</x:v>
      </x:c>
      <x:c r="M35" s="4">
        <x:v>1.0</x:v>
      </x:c>
    </x:row>
    <x:row r="36" ht="15.75" customHeight="1">
      <x:c r="A36" s="4">
        <x:v>6505.0</x:v>
      </x:c>
      <x:c r="B36" s="4" t="s">
        <x:v>14</x:v>
      </x:c>
      <x:c r="C36" s="4" t="s">
        <x:v>15</x:v>
      </x:c>
      <x:c r="D36" s="4" t="s">
        <x:v>69</x:v>
      </x:c>
      <x:c r="E36" s="4" t="s">
        <x:v>47</x:v>
      </x:c>
      <x:c r="F36" s="4">
        <x:v>1.0</x:v>
      </x:c>
      <x:c r="G36" s="4">
        <x:v>1.0</x:v>
      </x:c>
      <x:c r="H36" s="4">
        <x:v>0.0</x:v>
      </x:c>
      <x:c r="I36" s="4">
        <x:v>1.0</x:v>
      </x:c>
      <x:c r="J36" s="4">
        <x:v>1.0</x:v>
      </x:c>
      <x:c r="K36" s="4">
        <x:v>0.0</x:v>
      </x:c>
      <x:c r="L36" s="4">
        <x:v>1.0</x:v>
      </x:c>
      <x:c r="M36" s="4">
        <x:v>1.0</x:v>
      </x:c>
    </x:row>
    <x:row r="37" ht="15.75" customHeight="1">
      <x:c r="A37" s="4">
        <x:v>6184.0</x:v>
      </x:c>
      <x:c r="B37" s="4" t="s">
        <x:v>14</x:v>
      </x:c>
      <x:c r="C37" s="4" t="s">
        <x:v>15</x:v>
      </x:c>
      <x:c r="D37" s="4" t="s">
        <x:v>70</x:v>
      </x:c>
      <x:c r="E37" s="4" t="s">
        <x:v>29</x:v>
      </x:c>
      <x:c r="F37" s="4">
        <x:v>1.0</x:v>
      </x:c>
      <x:c r="G37" s="4">
        <x:v>1.0</x:v>
      </x:c>
      <x:c r="H37" s="4">
        <x:v>0.0</x:v>
      </x:c>
      <x:c r="I37" s="4">
        <x:v>1.0</x:v>
      </x:c>
      <x:c r="J37" s="4">
        <x:v>1.0</x:v>
      </x:c>
      <x:c r="K37" s="4">
        <x:v>0.0</x:v>
      </x:c>
      <x:c r="L37" s="4">
        <x:v>1.0</x:v>
      </x:c>
      <x:c r="M37" s="4">
        <x:v>1.0</x:v>
      </x:c>
    </x:row>
    <x:row r="38" ht="15.75" customHeight="1">
      <x:c r="A38" s="4">
        <x:v>6991.0</x:v>
      </x:c>
      <x:c r="B38" s="4" t="s">
        <x:v>14</x:v>
      </x:c>
      <x:c r="C38" s="4" t="s">
        <x:v>15</x:v>
      </x:c>
      <x:c r="D38" s="4" t="s">
        <x:v>71</x:v>
      </x:c>
      <x:c r="E38" s="4" t="s">
        <x:v>37</x:v>
      </x:c>
      <x:c r="F38" s="4">
        <x:v>1.0</x:v>
      </x:c>
      <x:c r="G38" s="4">
        <x:v>1.0</x:v>
      </x:c>
      <x:c r="H38" s="4">
        <x:v>0.0</x:v>
      </x:c>
      <x:c r="I38" s="4">
        <x:v>1.0</x:v>
      </x:c>
      <x:c r="J38" s="4">
        <x:v>1.0</x:v>
      </x:c>
      <x:c r="K38" s="4">
        <x:v>0.0</x:v>
      </x:c>
      <x:c r="L38" s="4">
        <x:v>1.0</x:v>
      </x:c>
      <x:c r="M38" s="4">
        <x:v>1.0</x:v>
      </x:c>
    </x:row>
    <x:row r="39" ht="15.75" customHeight="1">
      <x:c r="A39" s="4">
        <x:v>219.0</x:v>
      </x:c>
      <x:c r="B39" s="4" t="s">
        <x:v>14</x:v>
      </x:c>
      <x:c r="C39" s="4" t="s">
        <x:v>15</x:v>
      </x:c>
      <x:c r="D39" s="4" t="s">
        <x:v>72</x:v>
      </x:c>
      <x:c r="E39" s="4" t="s">
        <x:v>37</x:v>
      </x:c>
      <x:c r="F39" s="4">
        <x:v>1.0</x:v>
      </x:c>
      <x:c r="G39" s="4">
        <x:v>1.0</x:v>
      </x:c>
      <x:c r="H39" s="4">
        <x:v>0.0</x:v>
      </x:c>
      <x:c r="I39" s="4">
        <x:v>1.0</x:v>
      </x:c>
      <x:c r="J39" s="4">
        <x:v>1.0</x:v>
      </x:c>
      <x:c r="K39" s="4">
        <x:v>0.0</x:v>
      </x:c>
      <x:c r="L39" s="4">
        <x:v>1.0</x:v>
      </x:c>
      <x:c r="M39" s="4">
        <x:v>1.0</x:v>
      </x:c>
    </x:row>
    <x:row r="40" ht="15.75" customHeight="1">
      <x:c r="A40" s="4">
        <x:v>1926.0</x:v>
      </x:c>
      <x:c r="B40" s="4" t="s">
        <x:v>14</x:v>
      </x:c>
      <x:c r="C40" s="4" t="s">
        <x:v>15</x:v>
      </x:c>
      <x:c r="D40" s="4" t="s">
        <x:v>73</x:v>
      </x:c>
      <x:c r="E40" s="4" t="s">
        <x:v>19</x:v>
      </x:c>
      <x:c r="F40" s="4">
        <x:v>1.0</x:v>
      </x:c>
      <x:c r="G40" s="4">
        <x:v>1.0</x:v>
      </x:c>
      <x:c r="H40" s="4">
        <x:v>0.0</x:v>
      </x:c>
      <x:c r="I40" s="4">
        <x:v>1.0</x:v>
      </x:c>
      <x:c r="J40" s="4">
        <x:v>1.0</x:v>
      </x:c>
      <x:c r="K40" s="4">
        <x:v>0.0</x:v>
      </x:c>
      <x:c r="L40" s="4">
        <x:v>1.0</x:v>
      </x:c>
      <x:c r="M40" s="4">
        <x:v>1.0</x:v>
      </x:c>
    </x:row>
    <x:row r="41" ht="15.75" customHeight="1">
      <x:c r="A41" s="4">
        <x:v>218.0</x:v>
      </x:c>
      <x:c r="B41" s="4" t="s">
        <x:v>14</x:v>
      </x:c>
      <x:c r="C41" s="4" t="s">
        <x:v>15</x:v>
      </x:c>
      <x:c r="D41" s="4" t="s">
        <x:v>74</x:v>
      </x:c>
      <x:c r="E41" s="4" t="s">
        <x:v>17</x:v>
      </x:c>
      <x:c r="F41" s="4">
        <x:v>1.0</x:v>
      </x:c>
      <x:c r="G41" s="4">
        <x:v>1.0</x:v>
      </x:c>
      <x:c r="H41" s="4">
        <x:v>0.0</x:v>
      </x:c>
      <x:c r="I41" s="4">
        <x:v>1.0</x:v>
      </x:c>
      <x:c r="J41" s="4">
        <x:v>1.0</x:v>
      </x:c>
      <x:c r="K41" s="4">
        <x:v>0.0</x:v>
      </x:c>
      <x:c r="L41" s="4">
        <x:v>1.0</x:v>
      </x:c>
      <x:c r="M41" s="4">
        <x:v>1.0</x:v>
      </x:c>
    </x:row>
    <x:row r="42" ht="15.75" customHeight="1">
      <x:c r="A42" s="4">
        <x:v>1930.0</x:v>
      </x:c>
      <x:c r="B42" s="4" t="s">
        <x:v>14</x:v>
      </x:c>
      <x:c r="C42" s="4" t="s">
        <x:v>15</x:v>
      </x:c>
      <x:c r="D42" s="4" t="s">
        <x:v>75</x:v>
      </x:c>
      <x:c r="E42" s="4" t="s">
        <x:v>17</x:v>
      </x:c>
      <x:c r="F42" s="4">
        <x:v>1.0</x:v>
      </x:c>
      <x:c r="G42" s="4">
        <x:v>1.0</x:v>
      </x:c>
      <x:c r="H42" s="4">
        <x:v>0.0</x:v>
      </x:c>
      <x:c r="I42" s="4">
        <x:v>1.0</x:v>
      </x:c>
      <x:c r="J42" s="4">
        <x:v>1.0</x:v>
      </x:c>
      <x:c r="K42" s="4">
        <x:v>0.0</x:v>
      </x:c>
      <x:c r="L42" s="4">
        <x:v>1.0</x:v>
      </x:c>
      <x:c r="M42" s="4">
        <x:v>1.0</x:v>
      </x:c>
    </x:row>
    <x:row r="43" ht="15.75" customHeight="1">
      <x:c r="A43" s="4">
        <x:v>6417.0</x:v>
      </x:c>
      <x:c r="B43" s="4" t="s">
        <x:v>14</x:v>
      </x:c>
      <x:c r="C43" s="4" t="s">
        <x:v>15</x:v>
      </x:c>
      <x:c r="D43" s="4" t="s">
        <x:v>76</x:v>
      </x:c>
      <x:c r="E43" s="4" t="s">
        <x:v>31</x:v>
      </x:c>
      <x:c r="F43" s="4">
        <x:v>1.0</x:v>
      </x:c>
      <x:c r="G43" s="4">
        <x:v>1.0</x:v>
      </x:c>
      <x:c r="H43" s="4">
        <x:v>0.0</x:v>
      </x:c>
      <x:c r="I43" s="4">
        <x:v>1.0</x:v>
      </x:c>
      <x:c r="J43" s="4">
        <x:v>1.0</x:v>
      </x:c>
      <x:c r="K43" s="4">
        <x:v>0.0</x:v>
      </x:c>
      <x:c r="L43" s="4">
        <x:v>1.0</x:v>
      </x:c>
      <x:c r="M43" s="4">
        <x:v>1.0</x:v>
      </x:c>
    </x:row>
    <x:row r="44" ht="15.75" customHeight="1">
      <x:c r="A44" s="4">
        <x:v>2401.0</x:v>
      </x:c>
      <x:c r="B44" s="4" t="s">
        <x:v>14</x:v>
      </x:c>
      <x:c r="C44" s="4" t="s">
        <x:v>15</x:v>
      </x:c>
      <x:c r="D44" s="4" t="s">
        <x:v>77</x:v>
      </x:c>
      <x:c r="E44" s="4" t="s">
        <x:v>43</x:v>
      </x:c>
      <x:c r="F44" s="4">
        <x:v>1.0</x:v>
      </x:c>
      <x:c r="G44" s="4">
        <x:v>1.0</x:v>
      </x:c>
      <x:c r="H44" s="4">
        <x:v>0.0</x:v>
      </x:c>
      <x:c r="I44" s="4">
        <x:v>1.0</x:v>
      </x:c>
      <x:c r="J44" s="4">
        <x:v>1.0</x:v>
      </x:c>
      <x:c r="K44" s="4">
        <x:v>0.0</x:v>
      </x:c>
      <x:c r="L44" s="4">
        <x:v>1.0</x:v>
      </x:c>
      <x:c r="M44" s="4">
        <x:v>1.0</x:v>
      </x:c>
    </x:row>
    <x:row r="45" ht="15.75" customHeight="1">
      <x:c r="A45" s="4">
        <x:v>6523.0</x:v>
      </x:c>
      <x:c r="B45" s="4" t="s">
        <x:v>14</x:v>
      </x:c>
      <x:c r="C45" s="4" t="s">
        <x:v>15</x:v>
      </x:c>
      <x:c r="D45" s="4" t="s">
        <x:v>78</x:v>
      </x:c>
      <x:c r="E45" s="4" t="s">
        <x:v>43</x:v>
      </x:c>
      <x:c r="F45" s="4">
        <x:v>1.0</x:v>
      </x:c>
      <x:c r="G45" s="4">
        <x:v>1.0</x:v>
      </x:c>
      <x:c r="H45" s="4">
        <x:v>0.0</x:v>
      </x:c>
      <x:c r="I45" s="4">
        <x:v>1.0</x:v>
      </x:c>
      <x:c r="J45" s="4">
        <x:v>1.0</x:v>
      </x:c>
      <x:c r="K45" s="4">
        <x:v>0.0</x:v>
      </x:c>
      <x:c r="L45" s="4">
        <x:v>1.0</x:v>
      </x:c>
      <x:c r="M45" s="4">
        <x:v>1.0</x:v>
      </x:c>
    </x:row>
    <x:row r="46" ht="15.75" customHeight="1">
      <x:c r="A46" s="4">
        <x:v>2815.0</x:v>
      </x:c>
      <x:c r="B46" s="4" t="s">
        <x:v>14</x:v>
      </x:c>
      <x:c r="C46" s="4" t="s">
        <x:v>15</x:v>
      </x:c>
      <x:c r="D46" s="4" t="s">
        <x:v>79</x:v>
      </x:c>
      <x:c r="E46" s="4" t="s">
        <x:v>21</x:v>
      </x:c>
      <x:c r="F46" s="4">
        <x:v>1.0</x:v>
      </x:c>
      <x:c r="G46" s="4">
        <x:v>1.0</x:v>
      </x:c>
      <x:c r="H46" s="4">
        <x:v>0.0</x:v>
      </x:c>
      <x:c r="I46" s="4">
        <x:v>1.0</x:v>
      </x:c>
      <x:c r="J46" s="4">
        <x:v>1.0</x:v>
      </x:c>
      <x:c r="K46" s="4">
        <x:v>0.0</x:v>
      </x:c>
      <x:c r="L46" s="4">
        <x:v>1.0</x:v>
      </x:c>
      <x:c r="M46" s="4">
        <x:v>1.0</x:v>
      </x:c>
    </x:row>
    <x:row r="47" ht="15.75" customHeight="1">
      <x:c r="A47" s="4">
        <x:v>6813.0</x:v>
      </x:c>
      <x:c r="B47" s="4" t="s">
        <x:v>14</x:v>
      </x:c>
      <x:c r="C47" s="4" t="s">
        <x:v>15</x:v>
      </x:c>
      <x:c r="D47" s="4" t="s">
        <x:v>80</x:v>
      </x:c>
      <x:c r="E47" s="4" t="s">
        <x:v>21</x:v>
      </x:c>
      <x:c r="F47" s="4">
        <x:v>1.0</x:v>
      </x:c>
      <x:c r="G47" s="4">
        <x:v>1.0</x:v>
      </x:c>
      <x:c r="H47" s="4">
        <x:v>0.0</x:v>
      </x:c>
      <x:c r="I47" s="4">
        <x:v>1.0</x:v>
      </x:c>
      <x:c r="J47" s="4">
        <x:v>1.0</x:v>
      </x:c>
      <x:c r="K47" s="4">
        <x:v>0.0</x:v>
      </x:c>
      <x:c r="L47" s="4">
        <x:v>1.0</x:v>
      </x:c>
      <x:c r="M47" s="4">
        <x:v>1.0</x:v>
      </x:c>
    </x:row>
    <x:row r="48" ht="15.75" customHeight="1">
      <x:c r="A48" s="4">
        <x:v>2845.0</x:v>
      </x:c>
      <x:c r="B48" s="4" t="s">
        <x:v>14</x:v>
      </x:c>
      <x:c r="C48" s="4" t="s">
        <x:v>15</x:v>
      </x:c>
      <x:c r="D48" s="4" t="s">
        <x:v>81</x:v>
      </x:c>
      <x:c r="E48" s="4" t="s">
        <x:v>23</x:v>
      </x:c>
      <x:c r="F48" s="4">
        <x:v>1.0</x:v>
      </x:c>
      <x:c r="G48" s="4">
        <x:v>1.0</x:v>
      </x:c>
      <x:c r="H48" s="4">
        <x:v>0.0</x:v>
      </x:c>
      <x:c r="I48" s="4">
        <x:v>1.0</x:v>
      </x:c>
      <x:c r="J48" s="4">
        <x:v>1.0</x:v>
      </x:c>
      <x:c r="K48" s="4">
        <x:v>0.0</x:v>
      </x:c>
      <x:c r="L48" s="4">
        <x:v>1.0</x:v>
      </x:c>
      <x:c r="M48" s="4">
        <x:v>1.0</x:v>
      </x:c>
    </x:row>
    <x:row r="49" ht="15.75" customHeight="1">
      <x:c r="A49" s="4">
        <x:v>6662.0</x:v>
      </x:c>
      <x:c r="B49" s="4" t="s">
        <x:v>14</x:v>
      </x:c>
      <x:c r="C49" s="4" t="s">
        <x:v>15</x:v>
      </x:c>
      <x:c r="D49" s="4" t="s">
        <x:v>82</x:v>
      </x:c>
      <x:c r="E49" s="4" t="s">
        <x:v>45</x:v>
      </x:c>
      <x:c r="F49" s="4">
        <x:v>1.0</x:v>
      </x:c>
      <x:c r="G49" s="4">
        <x:v>1.0</x:v>
      </x:c>
      <x:c r="H49" s="4">
        <x:v>0.0</x:v>
      </x:c>
      <x:c r="I49" s="4">
        <x:v>1.0</x:v>
      </x:c>
      <x:c r="J49" s="4">
        <x:v>1.0</x:v>
      </x:c>
      <x:c r="K49" s="4">
        <x:v>0.0</x:v>
      </x:c>
      <x:c r="L49" s="4">
        <x:v>1.0</x:v>
      </x:c>
      <x:c r="M49" s="4">
        <x:v>1.0</x:v>
      </x:c>
    </x:row>
    <x:row r="50" ht="15.75" customHeight="1">
      <x:c r="A50" s="4">
        <x:v>5338.0</x:v>
      </x:c>
      <x:c r="B50" s="4" t="s">
        <x:v>14</x:v>
      </x:c>
      <x:c r="C50" s="4" t="s">
        <x:v>15</x:v>
      </x:c>
      <x:c r="D50" s="4" t="s">
        <x:v>83</x:v>
      </x:c>
      <x:c r="E50" s="4" t="s">
        <x:v>45</x:v>
      </x:c>
      <x:c r="F50" s="4">
        <x:v>1.0</x:v>
      </x:c>
      <x:c r="G50" s="4">
        <x:v>1.0</x:v>
      </x:c>
      <x:c r="H50" s="4">
        <x:v>0.0</x:v>
      </x:c>
      <x:c r="I50" s="4">
        <x:v>1.0</x:v>
      </x:c>
      <x:c r="J50" s="4">
        <x:v>1.0</x:v>
      </x:c>
      <x:c r="K50" s="4">
        <x:v>0.0</x:v>
      </x:c>
      <x:c r="L50" s="4">
        <x:v>1.0</x:v>
      </x:c>
      <x:c r="M50" s="4">
        <x:v>1.0</x:v>
      </x:c>
    </x:row>
    <x:row r="51" ht="15.75" customHeight="1">
      <x:c r="A51" s="4">
        <x:v>2271.0</x:v>
      </x:c>
      <x:c r="B51" s="4" t="s">
        <x:v>14</x:v>
      </x:c>
      <x:c r="C51" s="4" t="s">
        <x:v>15</x:v>
      </x:c>
      <x:c r="D51" s="4" t="s">
        <x:v>84</x:v>
      </x:c>
      <x:c r="E51" s="4" t="s">
        <x:v>55</x:v>
      </x:c>
      <x:c r="F51" s="4">
        <x:v>1.0</x:v>
      </x:c>
      <x:c r="G51" s="4">
        <x:v>1.0</x:v>
      </x:c>
      <x:c r="H51" s="4">
        <x:v>0.0</x:v>
      </x:c>
      <x:c r="I51" s="4">
        <x:v>1.0</x:v>
      </x:c>
      <x:c r="J51" s="4">
        <x:v>1.0</x:v>
      </x:c>
      <x:c r="K51" s="4">
        <x:v>0.0</x:v>
      </x:c>
      <x:c r="L51" s="4">
        <x:v>1.0</x:v>
      </x:c>
      <x:c r="M51" s="4">
        <x:v>1.0</x:v>
      </x:c>
    </x:row>
    <x:row r="52" ht="15.75" customHeight="1">
      <x:c r="A52" s="4">
        <x:v>7169.0</x:v>
      </x:c>
      <x:c r="B52" s="4" t="s">
        <x:v>14</x:v>
      </x:c>
      <x:c r="C52" s="4" t="s">
        <x:v>15</x:v>
      </x:c>
      <x:c r="D52" s="4" t="s">
        <x:v>85</x:v>
      </x:c>
      <x:c r="E52" s="4" t="s">
        <x:v>25</x:v>
      </x:c>
      <x:c r="F52" s="4">
        <x:v>1.0</x:v>
      </x:c>
      <x:c r="G52" s="4">
        <x:v>1.0</x:v>
      </x:c>
      <x:c r="H52" s="4">
        <x:v>0.0</x:v>
      </x:c>
      <x:c r="I52" s="4">
        <x:v>1.0</x:v>
      </x:c>
      <x:c r="J52" s="4">
        <x:v>1.0</x:v>
      </x:c>
      <x:c r="K52" s="4">
        <x:v>0.0</x:v>
      </x:c>
      <x:c r="L52" s="4">
        <x:v>1.0</x:v>
      </x:c>
      <x:c r="M52" s="4">
        <x:v>1.0</x:v>
      </x:c>
    </x:row>
    <x:row r="53" ht="15.75" customHeight="1">
      <x:c r="A53" s="4">
        <x:v>610.0</x:v>
      </x:c>
      <x:c r="B53" s="4" t="s">
        <x:v>14</x:v>
      </x:c>
      <x:c r="C53" s="4" t="s">
        <x:v>15</x:v>
      </x:c>
      <x:c r="D53" s="4" t="s">
        <x:v>86</x:v>
      </x:c>
      <x:c r="E53" s="4" t="s">
        <x:v>25</x:v>
      </x:c>
      <x:c r="F53" s="4">
        <x:v>1.0</x:v>
      </x:c>
      <x:c r="G53" s="4">
        <x:v>1.0</x:v>
      </x:c>
      <x:c r="H53" s="4">
        <x:v>0.0</x:v>
      </x:c>
      <x:c r="I53" s="4">
        <x:v>1.0</x:v>
      </x:c>
      <x:c r="J53" s="4">
        <x:v>1.0</x:v>
      </x:c>
      <x:c r="K53" s="4">
        <x:v>0.0</x:v>
      </x:c>
      <x:c r="L53" s="4">
        <x:v>1.0</x:v>
      </x:c>
      <x:c r="M53" s="4">
        <x:v>1.0</x:v>
      </x:c>
    </x:row>
    <x:row r="54" ht="15.75" customHeight="1">
      <x:c r="A54" s="4">
        <x:v>2127.0</x:v>
      </x:c>
      <x:c r="B54" s="4" t="s">
        <x:v>14</x:v>
      </x:c>
      <x:c r="C54" s="4" t="s">
        <x:v>15</x:v>
      </x:c>
      <x:c r="D54" s="4" t="s">
        <x:v>87</x:v>
      </x:c>
      <x:c r="E54" s="4" t="s">
        <x:v>49</x:v>
      </x:c>
      <x:c r="F54" s="4">
        <x:v>1.0</x:v>
      </x:c>
      <x:c r="G54" s="4">
        <x:v>1.0</x:v>
      </x:c>
      <x:c r="H54" s="4">
        <x:v>0.0</x:v>
      </x:c>
      <x:c r="I54" s="4">
        <x:v>1.0</x:v>
      </x:c>
      <x:c r="J54" s="4">
        <x:v>1.0</x:v>
      </x:c>
      <x:c r="K54" s="4">
        <x:v>0.0</x:v>
      </x:c>
      <x:c r="L54" s="4">
        <x:v>1.0</x:v>
      </x:c>
      <x:c r="M54" s="4">
        <x:v>1.0</x:v>
      </x:c>
    </x:row>
    <x:row r="55" ht="15.75" customHeight="1">
      <x:c r="A55" s="4">
        <x:v>5320.0</x:v>
      </x:c>
      <x:c r="B55" s="4" t="s">
        <x:v>14</x:v>
      </x:c>
      <x:c r="C55" s="4" t="s">
        <x:v>15</x:v>
      </x:c>
      <x:c r="D55" s="4" t="s">
        <x:v>88</x:v>
      </x:c>
      <x:c r="E55" s="4" t="s">
        <x:v>41</x:v>
      </x:c>
      <x:c r="F55" s="4">
        <x:v>1.0</x:v>
      </x:c>
      <x:c r="G55" s="4">
        <x:v>1.0</x:v>
      </x:c>
      <x:c r="H55" s="4">
        <x:v>0.0</x:v>
      </x:c>
      <x:c r="I55" s="4">
        <x:v>1.0</x:v>
      </x:c>
      <x:c r="J55" s="4">
        <x:v>1.0</x:v>
      </x:c>
      <x:c r="K55" s="4">
        <x:v>0.0</x:v>
      </x:c>
      <x:c r="L55" s="4">
        <x:v>1.0</x:v>
      </x:c>
      <x:c r="M55" s="4">
        <x:v>1.0</x:v>
      </x:c>
    </x:row>
    <x:row r="56" ht="15.75" customHeight="1">
      <x:c r="A56" s="4">
        <x:v>6210.0</x:v>
      </x:c>
      <x:c r="B56" s="4" t="s">
        <x:v>14</x:v>
      </x:c>
      <x:c r="C56" s="4" t="s">
        <x:v>15</x:v>
      </x:c>
      <x:c r="D56" s="4" t="s">
        <x:v>89</x:v>
      </x:c>
      <x:c r="E56" s="4" t="s">
        <x:v>41</x:v>
      </x:c>
      <x:c r="F56" s="4">
        <x:v>1.0</x:v>
      </x:c>
      <x:c r="G56" s="4">
        <x:v>1.0</x:v>
      </x:c>
      <x:c r="H56" s="4">
        <x:v>0.0</x:v>
      </x:c>
      <x:c r="I56" s="4">
        <x:v>1.0</x:v>
      </x:c>
      <x:c r="J56" s="4">
        <x:v>1.0</x:v>
      </x:c>
      <x:c r="K56" s="4">
        <x:v>0.0</x:v>
      </x:c>
      <x:c r="L56" s="4">
        <x:v>1.0</x:v>
      </x:c>
      <x:c r="M56" s="4">
        <x:v>1.0</x:v>
      </x:c>
    </x:row>
    <x:row r="57" ht="15.75" customHeight="1">
      <x:c r="A57" s="4">
        <x:v>543.0</x:v>
      </x:c>
      <x:c r="B57" s="4" t="s">
        <x:v>14</x:v>
      </x:c>
      <x:c r="C57" s="4" t="s">
        <x:v>15</x:v>
      </x:c>
      <x:c r="D57" s="4" t="s">
        <x:v>90</x:v>
      </x:c>
      <x:c r="E57" s="4" t="s">
        <x:v>51</x:v>
      </x:c>
      <x:c r="F57" s="4">
        <x:v>1.0</x:v>
      </x:c>
      <x:c r="G57" s="4">
        <x:v>1.0</x:v>
      </x:c>
      <x:c r="H57" s="4">
        <x:v>0.0</x:v>
      </x:c>
      <x:c r="I57" s="4">
        <x:v>1.0</x:v>
      </x:c>
      <x:c r="J57" s="4">
        <x:v>1.0</x:v>
      </x:c>
      <x:c r="K57" s="4">
        <x:v>0.0</x:v>
      </x:c>
      <x:c r="L57" s="4">
        <x:v>1.0</x:v>
      </x:c>
      <x:c r="M57" s="4">
        <x:v>1.0</x:v>
      </x:c>
    </x:row>
    <x:row r="58" ht="15.75" customHeight="1">
      <x:c r="A58" s="4">
        <x:v>511.0</x:v>
      </x:c>
      <x:c r="B58" s="4" t="s">
        <x:v>14</x:v>
      </x:c>
      <x:c r="C58" s="4" t="s">
        <x:v>15</x:v>
      </x:c>
      <x:c r="D58" s="4" t="s">
        <x:v>91</x:v>
      </x:c>
      <x:c r="E58" s="4" t="s">
        <x:v>57</x:v>
      </x:c>
      <x:c r="F58" s="4">
        <x:v>1.0</x:v>
      </x:c>
      <x:c r="G58" s="4">
        <x:v>1.0</x:v>
      </x:c>
      <x:c r="H58" s="4">
        <x:v>0.0</x:v>
      </x:c>
      <x:c r="I58" s="4">
        <x:v>1.0</x:v>
      </x:c>
      <x:c r="J58" s="4">
        <x:v>1.0</x:v>
      </x:c>
      <x:c r="K58" s="4">
        <x:v>0.0</x:v>
      </x:c>
      <x:c r="L58" s="4">
        <x:v>1.0</x:v>
      </x:c>
      <x:c r="M58" s="4">
        <x:v>1.0</x:v>
      </x:c>
    </x:row>
    <x:row r="59" ht="15.75" customHeight="1">
      <x:c r="A59" s="4">
        <x:v>6125.0</x:v>
      </x:c>
      <x:c r="B59" s="4" t="s">
        <x:v>14</x:v>
      </x:c>
      <x:c r="C59" s="4" t="s">
        <x:v>15</x:v>
      </x:c>
      <x:c r="D59" s="4" t="s">
        <x:v>92</x:v>
      </x:c>
      <x:c r="E59" s="4" t="s">
        <x:v>25</x:v>
      </x:c>
      <x:c r="F59" s="4">
        <x:v>1.0</x:v>
      </x:c>
      <x:c r="G59" s="4">
        <x:v>1.0</x:v>
      </x:c>
      <x:c r="H59" s="4">
        <x:v>0.0</x:v>
      </x:c>
      <x:c r="I59" s="4">
        <x:v>1.0</x:v>
      </x:c>
      <x:c r="J59" s="4">
        <x:v>1.0</x:v>
      </x:c>
      <x:c r="K59" s="4">
        <x:v>0.0</x:v>
      </x:c>
      <x:c r="L59" s="4">
        <x:v>1.0</x:v>
      </x:c>
      <x:c r="M59" s="4">
        <x:v>1.0</x:v>
      </x:c>
    </x:row>
    <x:row r="60" ht="15.75" customHeight="1">
      <x:c r="A60" s="4">
        <x:v>7185.0</x:v>
      </x:c>
      <x:c r="B60" s="4" t="s">
        <x:v>14</x:v>
      </x:c>
      <x:c r="C60" s="4" t="s">
        <x:v>15</x:v>
      </x:c>
      <x:c r="D60" s="4" t="s">
        <x:v>93</x:v>
      </x:c>
      <x:c r="E60" s="4" t="s">
        <x:v>51</x:v>
      </x:c>
      <x:c r="F60" s="4">
        <x:v>1.0</x:v>
      </x:c>
      <x:c r="G60" s="4">
        <x:v>1.0</x:v>
      </x:c>
      <x:c r="H60" s="4">
        <x:v>0.0</x:v>
      </x:c>
      <x:c r="I60" s="4">
        <x:v>1.0</x:v>
      </x:c>
      <x:c r="J60" s="4">
        <x:v>1.0</x:v>
      </x:c>
      <x:c r="K60" s="4">
        <x:v>0.0</x:v>
      </x:c>
      <x:c r="L60" s="4">
        <x:v>1.0</x:v>
      </x:c>
      <x:c r="M60" s="4">
        <x:v>1.0</x:v>
      </x:c>
    </x:row>
    <x:row r="61" ht="15.75" customHeight="1">
      <x:c r="A61" s="4">
        <x:v>158.0</x:v>
      </x:c>
      <x:c r="B61" s="4" t="s">
        <x:v>14</x:v>
      </x:c>
      <x:c r="C61" s="4" t="s">
        <x:v>15</x:v>
      </x:c>
      <x:c r="D61" s="4" t="s">
        <x:v>94</x:v>
      </x:c>
      <x:c r="E61" s="4" t="s">
        <x:v>29</x:v>
      </x:c>
      <x:c r="F61" s="4">
        <x:v>1.0</x:v>
      </x:c>
      <x:c r="G61" s="4">
        <x:v>1.0</x:v>
      </x:c>
      <x:c r="H61" s="4">
        <x:v>0.0</x:v>
      </x:c>
      <x:c r="I61" s="4">
        <x:v>1.0</x:v>
      </x:c>
      <x:c r="J61" s="4">
        <x:v>1.0</x:v>
      </x:c>
      <x:c r="K61" s="4">
        <x:v>0.0</x:v>
      </x:c>
      <x:c r="L61" s="4">
        <x:v>1.0</x:v>
      </x:c>
      <x:c r="M61" s="4">
        <x:v>1.0</x:v>
      </x:c>
    </x:row>
    <x:row r="62" ht="15.75" customHeight="1">
      <x:c r="A62" s="4">
        <x:v>2211.0</x:v>
      </x:c>
      <x:c r="B62" s="4" t="s">
        <x:v>14</x:v>
      </x:c>
      <x:c r="C62" s="4" t="s">
        <x:v>15</x:v>
      </x:c>
      <x:c r="D62" s="4" t="s">
        <x:v>95</x:v>
      </x:c>
      <x:c r="E62" s="4" t="s">
        <x:v>47</x:v>
      </x:c>
      <x:c r="F62" s="4">
        <x:v>1.0</x:v>
      </x:c>
      <x:c r="G62" s="4">
        <x:v>1.0</x:v>
      </x:c>
      <x:c r="H62" s="4">
        <x:v>0.0</x:v>
      </x:c>
      <x:c r="I62" s="4">
        <x:v>1.0</x:v>
      </x:c>
      <x:c r="J62" s="4">
        <x:v>1.0</x:v>
      </x:c>
      <x:c r="K62" s="4">
        <x:v>0.0</x:v>
      </x:c>
      <x:c r="L62" s="4">
        <x:v>1.0</x:v>
      </x:c>
      <x:c r="M62" s="4">
        <x:v>1.0</x:v>
      </x:c>
    </x:row>
    <x:row r="63" ht="15.75" customHeight="1">
      <x:c r="A63" s="4">
        <x:v>7236.0</x:v>
      </x:c>
      <x:c r="B63" s="4" t="s">
        <x:v>14</x:v>
      </x:c>
      <x:c r="C63" s="4" t="s">
        <x:v>15</x:v>
      </x:c>
      <x:c r="D63" s="4" t="s">
        <x:v>96</x:v>
      </x:c>
      <x:c r="E63" s="4" t="s">
        <x:v>57</x:v>
      </x:c>
      <x:c r="F63" s="4">
        <x:v>1.0</x:v>
      </x:c>
      <x:c r="G63" s="4">
        <x:v>1.0</x:v>
      </x:c>
      <x:c r="H63" s="4">
        <x:v>0.0</x:v>
      </x:c>
      <x:c r="I63" s="4">
        <x:v>1.0</x:v>
      </x:c>
      <x:c r="J63" s="4">
        <x:v>1.0</x:v>
      </x:c>
      <x:c r="K63" s="4">
        <x:v>0.0</x:v>
      </x:c>
      <x:c r="L63" s="4">
        <x:v>1.0</x:v>
      </x:c>
      <x:c r="M63" s="4">
        <x:v>1.0</x:v>
      </x:c>
    </x:row>
    <x:row r="64" ht="15.75" customHeight="1">
      <x:c r="A64" s="4">
        <x:v>7261.0</x:v>
      </x:c>
      <x:c r="B64" s="4" t="s">
        <x:v>14</x:v>
      </x:c>
      <x:c r="C64" s="4" t="s">
        <x:v>15</x:v>
      </x:c>
      <x:c r="D64" s="4" t="s">
        <x:v>97</x:v>
      </x:c>
      <x:c r="E64" s="4" t="s">
        <x:v>35</x:v>
      </x:c>
      <x:c r="F64" s="4">
        <x:v>1.0</x:v>
      </x:c>
      <x:c r="G64" s="4">
        <x:v>1.0</x:v>
      </x:c>
      <x:c r="H64" s="4">
        <x:v>0.0</x:v>
      </x:c>
      <x:c r="I64" s="4">
        <x:v>1.0</x:v>
      </x:c>
      <x:c r="J64" s="4">
        <x:v>1.0</x:v>
      </x:c>
      <x:c r="K64" s="4">
        <x:v>0.0</x:v>
      </x:c>
      <x:c r="L64" s="4">
        <x:v>1.0</x:v>
      </x:c>
      <x:c r="M64" s="4">
        <x:v>1.0</x:v>
      </x:c>
    </x:row>
    <x:row r="65" ht="15.75" customHeight="1">
      <x:c r="A65" s="4">
        <x:v>5513.0</x:v>
      </x:c>
      <x:c r="B65" s="4" t="s">
        <x:v>98</x:v>
      </x:c>
      <x:c r="C65" s="4" t="s">
        <x:v>99</x:v>
      </x:c>
      <x:c r="D65" s="4" t="s">
        <x:v>100</x:v>
      </x:c>
      <x:c r="E65" s="4" t="s">
        <x:v>19</x:v>
      </x:c>
      <x:c r="F65" s="4">
        <x:v>21.0</x:v>
      </x:c>
      <x:c r="G65" s="4">
        <x:v>20.0</x:v>
      </x:c>
      <x:c r="H65" s="4">
        <x:v>1.0</x:v>
      </x:c>
      <x:c r="I65" s="4">
        <x:v>20.0</x:v>
      </x:c>
      <x:c r="J65" s="4">
        <x:v>19.0</x:v>
      </x:c>
      <x:c r="K65" s="4">
        <x:v>1.0</x:v>
      </x:c>
      <x:c r="L65" s="4">
        <x:v>107.0</x:v>
      </x:c>
      <x:c r="M65" s="4">
        <x:v>107.0</x:v>
      </x:c>
    </x:row>
    <x:row r="66" ht="15.75" customHeight="1">
      <x:c r="A66" s="4">
        <x:v>254.0</x:v>
      </x:c>
      <x:c r="B66" s="4" t="s">
        <x:v>98</x:v>
      </x:c>
      <x:c r="C66" s="4" t="s">
        <x:v>99</x:v>
      </x:c>
      <x:c r="D66" s="4" t="s">
        <x:v>101</x:v>
      </x:c>
      <x:c r="E66" s="4" t="s">
        <x:v>19</x:v>
      </x:c>
      <x:c r="F66" s="4">
        <x:v>19.0</x:v>
      </x:c>
      <x:c r="G66" s="4">
        <x:v>19.0</x:v>
      </x:c>
      <x:c r="H66" s="4">
        <x:v>0.0</x:v>
      </x:c>
      <x:c r="I66" s="4">
        <x:v>18.0</x:v>
      </x:c>
      <x:c r="J66" s="4">
        <x:v>18.0</x:v>
      </x:c>
      <x:c r="K66" s="4">
        <x:v>0.0</x:v>
      </x:c>
      <x:c r="L66" s="4">
        <x:v>94.0</x:v>
      </x:c>
      <x:c r="M66" s="4">
        <x:v>94.0</x:v>
      </x:c>
    </x:row>
    <x:row r="67" ht="15.75" customHeight="1">
      <x:c r="A67" s="4">
        <x:v>2160.0</x:v>
      </x:c>
      <x:c r="B67" s="4" t="s">
        <x:v>98</x:v>
      </x:c>
      <x:c r="C67" s="4" t="s">
        <x:v>99</x:v>
      </x:c>
      <x:c r="D67" s="4" t="s">
        <x:v>102</x:v>
      </x:c>
      <x:c r="E67" s="4" t="s">
        <x:v>29</x:v>
      </x:c>
      <x:c r="F67" s="4">
        <x:v>18.0</x:v>
      </x:c>
      <x:c r="G67" s="4">
        <x:v>18.0</x:v>
      </x:c>
      <x:c r="H67" s="4">
        <x:v>0.0</x:v>
      </x:c>
      <x:c r="I67" s="4">
        <x:v>17.0</x:v>
      </x:c>
      <x:c r="J67" s="4">
        <x:v>17.0</x:v>
      </x:c>
      <x:c r="K67" s="4">
        <x:v>0.0</x:v>
      </x:c>
      <x:c r="L67" s="4">
        <x:v>83.0</x:v>
      </x:c>
      <x:c r="M67" s="4">
        <x:v>83.0</x:v>
      </x:c>
    </x:row>
    <x:row r="68" ht="15.75" customHeight="1">
      <x:c r="A68" s="4">
        <x:v>2120.0</x:v>
      </x:c>
      <x:c r="B68" s="4" t="s">
        <x:v>98</x:v>
      </x:c>
      <x:c r="C68" s="4" t="s">
        <x:v>103</x:v>
      </x:c>
      <x:c r="D68" s="4" t="s">
        <x:v>104</x:v>
      </x:c>
      <x:c r="E68" s="4" t="s">
        <x:v>19</x:v>
      </x:c>
      <x:c r="F68" s="4">
        <x:v>17.0</x:v>
      </x:c>
      <x:c r="G68" s="4">
        <x:v>16.0</x:v>
      </x:c>
      <x:c r="H68" s="4">
        <x:v>1.0</x:v>
      </x:c>
      <x:c r="I68" s="4">
        <x:v>17.0</x:v>
      </x:c>
      <x:c r="J68" s="4">
        <x:v>16.0</x:v>
      </x:c>
      <x:c r="K68" s="4">
        <x:v>1.0</x:v>
      </x:c>
      <x:c r="L68" s="4">
        <x:v>76.0</x:v>
      </x:c>
      <x:c r="M68" s="4">
        <x:v>76.0</x:v>
      </x:c>
    </x:row>
    <x:row r="69" ht="15.75" customHeight="1">
      <x:c r="A69" s="4">
        <x:v>4433.0</x:v>
      </x:c>
      <x:c r="B69" s="4" t="s">
        <x:v>98</x:v>
      </x:c>
      <x:c r="C69" s="4" t="s">
        <x:v>99</x:v>
      </x:c>
      <x:c r="D69" s="4" t="s">
        <x:v>105</x:v>
      </x:c>
      <x:c r="E69" s="4" t="s">
        <x:v>33</x:v>
      </x:c>
      <x:c r="F69" s="4">
        <x:v>16.0</x:v>
      </x:c>
      <x:c r="G69" s="4">
        <x:v>16.0</x:v>
      </x:c>
      <x:c r="H69" s="4">
        <x:v>0.0</x:v>
      </x:c>
      <x:c r="I69" s="4">
        <x:v>15.0</x:v>
      </x:c>
      <x:c r="J69" s="4">
        <x:v>15.0</x:v>
      </x:c>
      <x:c r="K69" s="4">
        <x:v>0.0</x:v>
      </x:c>
      <x:c r="L69" s="4">
        <x:v>40.0</x:v>
      </x:c>
      <x:c r="M69" s="4">
        <x:v>24.0</x:v>
      </x:c>
    </x:row>
    <x:row r="70" ht="15.75" customHeight="1">
      <x:c r="A70" s="4">
        <x:v>4772.0</x:v>
      </x:c>
      <x:c r="B70" s="4" t="s">
        <x:v>98</x:v>
      </x:c>
      <x:c r="C70" s="4" t="s">
        <x:v>99</x:v>
      </x:c>
      <x:c r="D70" s="4" t="s">
        <x:v>106</x:v>
      </x:c>
      <x:c r="E70" s="4" t="s">
        <x:v>25</x:v>
      </x:c>
      <x:c r="F70" s="4">
        <x:v>15.0</x:v>
      </x:c>
      <x:c r="G70" s="4">
        <x:v>15.0</x:v>
      </x:c>
      <x:c r="H70" s="4">
        <x:v>0.0</x:v>
      </x:c>
      <x:c r="I70" s="4">
        <x:v>14.0</x:v>
      </x:c>
      <x:c r="J70" s="4">
        <x:v>14.0</x:v>
      </x:c>
      <x:c r="K70" s="4">
        <x:v>0.0</x:v>
      </x:c>
      <x:c r="L70" s="4">
        <x:v>52.0</x:v>
      </x:c>
      <x:c r="M70" s="4">
        <x:v>52.0</x:v>
      </x:c>
    </x:row>
    <x:row r="71" ht="15.75" customHeight="1">
      <x:c r="A71" s="4">
        <x:v>7181.0</x:v>
      </x:c>
      <x:c r="B71" s="4" t="s">
        <x:v>98</x:v>
      </x:c>
      <x:c r="C71" s="4" t="s">
        <x:v>99</x:v>
      </x:c>
      <x:c r="D71" s="4" t="s">
        <x:v>107</x:v>
      </x:c>
      <x:c r="E71" s="4" t="s">
        <x:v>25</x:v>
      </x:c>
      <x:c r="F71" s="4">
        <x:v>15.0</x:v>
      </x:c>
      <x:c r="G71" s="4">
        <x:v>14.0</x:v>
      </x:c>
      <x:c r="H71" s="4">
        <x:v>1.0</x:v>
      </x:c>
      <x:c r="I71" s="4">
        <x:v>14.0</x:v>
      </x:c>
      <x:c r="J71" s="4">
        <x:v>13.0</x:v>
      </x:c>
      <x:c r="K71" s="4">
        <x:v>1.0</x:v>
      </x:c>
      <x:c r="L71" s="4">
        <x:v>52.0</x:v>
      </x:c>
      <x:c r="M71" s="4">
        <x:v>52.0</x:v>
      </x:c>
    </x:row>
    <x:row r="72" ht="15.75" customHeight="1">
      <x:c r="A72" s="4">
        <x:v>5520.0</x:v>
      </x:c>
      <x:c r="B72" s="4" t="s">
        <x:v>98</x:v>
      </x:c>
      <x:c r="C72" s="4" t="s">
        <x:v>99</x:v>
      </x:c>
      <x:c r="D72" s="4" t="s">
        <x:v>108</x:v>
      </x:c>
      <x:c r="E72" s="4" t="s">
        <x:v>17</x:v>
      </x:c>
      <x:c r="F72" s="4">
        <x:v>14.0</x:v>
      </x:c>
      <x:c r="G72" s="4">
        <x:v>15.0</x:v>
      </x:c>
      <x:c r="H72" s="4">
        <x:v>-1.0</x:v>
      </x:c>
      <x:c r="I72" s="4">
        <x:v>13.0</x:v>
      </x:c>
      <x:c r="J72" s="4">
        <x:v>14.0</x:v>
      </x:c>
      <x:c r="K72" s="4">
        <x:v>-1.0</x:v>
      </x:c>
      <x:c r="L72" s="4">
        <x:v>56.0</x:v>
      </x:c>
      <x:c r="M72" s="4">
        <x:v>56.0</x:v>
      </x:c>
    </x:row>
    <x:row r="73" ht="15.75" customHeight="1">
      <x:c r="A73" s="4">
        <x:v>2816.0</x:v>
      </x:c>
      <x:c r="B73" s="4" t="s">
        <x:v>98</x:v>
      </x:c>
      <x:c r="C73" s="4" t="s">
        <x:v>109</x:v>
      </x:c>
      <x:c r="D73" s="4" t="s">
        <x:v>110</x:v>
      </x:c>
      <x:c r="E73" s="4" t="s">
        <x:v>23</x:v>
      </x:c>
      <x:c r="F73" s="4">
        <x:v>14.0</x:v>
      </x:c>
      <x:c r="G73" s="4">
        <x:v>14.0</x:v>
      </x:c>
      <x:c r="H73" s="4">
        <x:v>0.0</x:v>
      </x:c>
      <x:c r="I73" s="4">
        <x:v>14.0</x:v>
      </x:c>
      <x:c r="J73" s="4">
        <x:v>14.0</x:v>
      </x:c>
      <x:c r="K73" s="4">
        <x:v>0.0</x:v>
      </x:c>
      <x:c r="L73" s="4">
        <x:v>53.0</x:v>
      </x:c>
      <x:c r="M73" s="4">
        <x:v>53.0</x:v>
      </x:c>
    </x:row>
    <x:row r="74" ht="15.75" customHeight="1">
      <x:c r="A74" s="4">
        <x:v>4887.0</x:v>
      </x:c>
      <x:c r="B74" s="4" t="s">
        <x:v>98</x:v>
      </x:c>
      <x:c r="C74" s="4" t="s">
        <x:v>99</x:v>
      </x:c>
      <x:c r="D74" s="4" t="s">
        <x:v>111</x:v>
      </x:c>
      <x:c r="E74" s="4" t="s">
        <x:v>27</x:v>
      </x:c>
      <x:c r="F74" s="4">
        <x:v>13.0</x:v>
      </x:c>
      <x:c r="G74" s="4">
        <x:v>13.0</x:v>
      </x:c>
      <x:c r="H74" s="4">
        <x:v>0.0</x:v>
      </x:c>
      <x:c r="I74" s="4">
        <x:v>12.0</x:v>
      </x:c>
      <x:c r="J74" s="4">
        <x:v>12.0</x:v>
      </x:c>
      <x:c r="K74" s="4">
        <x:v>0.0</x:v>
      </x:c>
      <x:c r="L74" s="4">
        <x:v>51.0</x:v>
      </x:c>
      <x:c r="M74" s="4">
        <x:v>51.0</x:v>
      </x:c>
    </x:row>
    <x:row r="75" ht="15.75" customHeight="1">
      <x:c r="A75" s="4">
        <x:v>554.0</x:v>
      </x:c>
      <x:c r="B75" s="4" t="s">
        <x:v>98</x:v>
      </x:c>
      <x:c r="C75" s="4" t="s">
        <x:v>99</x:v>
      </x:c>
      <x:c r="D75" s="4" t="s">
        <x:v>112</x:v>
      </x:c>
      <x:c r="E75" s="4" t="s">
        <x:v>27</x:v>
      </x:c>
      <x:c r="F75" s="4">
        <x:v>13.0</x:v>
      </x:c>
      <x:c r="G75" s="4">
        <x:v>13.0</x:v>
      </x:c>
      <x:c r="H75" s="4">
        <x:v>0.0</x:v>
      </x:c>
      <x:c r="I75" s="4">
        <x:v>12.0</x:v>
      </x:c>
      <x:c r="J75" s="4">
        <x:v>12.0</x:v>
      </x:c>
      <x:c r="K75" s="4">
        <x:v>0.0</x:v>
      </x:c>
      <x:c r="L75" s="4">
        <x:v>30.0</x:v>
      </x:c>
      <x:c r="M75" s="4">
        <x:v>30.0</x:v>
      </x:c>
    </x:row>
    <x:row r="76" ht="15.75" customHeight="1">
      <x:c r="A76" s="4">
        <x:v>2788.0</x:v>
      </x:c>
      <x:c r="B76" s="4" t="s">
        <x:v>98</x:v>
      </x:c>
      <x:c r="C76" s="4" t="s">
        <x:v>103</x:v>
      </x:c>
      <x:c r="D76" s="4" t="s">
        <x:v>113</x:v>
      </x:c>
      <x:c r="E76" s="4" t="s">
        <x:v>17</x:v>
      </x:c>
      <x:c r="F76" s="4">
        <x:v>13.0</x:v>
      </x:c>
      <x:c r="G76" s="4">
        <x:v>13.0</x:v>
      </x:c>
      <x:c r="H76" s="4">
        <x:v>0.0</x:v>
      </x:c>
      <x:c r="I76" s="4">
        <x:v>13.0</x:v>
      </x:c>
      <x:c r="J76" s="4">
        <x:v>13.0</x:v>
      </x:c>
      <x:c r="K76" s="4">
        <x:v>0.0</x:v>
      </x:c>
      <x:c r="L76" s="4">
        <x:v>50.0</x:v>
      </x:c>
      <x:c r="M76" s="4">
        <x:v>50.0</x:v>
      </x:c>
    </x:row>
    <x:row r="77" ht="15.75" customHeight="1">
      <x:c r="A77" s="4">
        <x:v>2724.0</x:v>
      </x:c>
      <x:c r="B77" s="4" t="s">
        <x:v>98</x:v>
      </x:c>
      <x:c r="C77" s="4" t="s">
        <x:v>103</x:v>
      </x:c>
      <x:c r="D77" s="4" t="s">
        <x:v>114</x:v>
      </x:c>
      <x:c r="E77" s="4" t="s">
        <x:v>23</x:v>
      </x:c>
      <x:c r="F77" s="4">
        <x:v>13.0</x:v>
      </x:c>
      <x:c r="G77" s="4">
        <x:v>13.0</x:v>
      </x:c>
      <x:c r="H77" s="4">
        <x:v>0.0</x:v>
      </x:c>
      <x:c r="I77" s="4">
        <x:v>13.0</x:v>
      </x:c>
      <x:c r="J77" s="4">
        <x:v>13.0</x:v>
      </x:c>
      <x:c r="K77" s="4">
        <x:v>0.0</x:v>
      </x:c>
      <x:c r="L77" s="4">
        <x:v>42.0</x:v>
      </x:c>
      <x:c r="M77" s="4">
        <x:v>42.0</x:v>
      </x:c>
    </x:row>
    <x:row r="78" ht="15.75" customHeight="1">
      <x:c r="A78" s="4">
        <x:v>5885.0</x:v>
      </x:c>
      <x:c r="B78" s="4" t="s">
        <x:v>98</x:v>
      </x:c>
      <x:c r="C78" s="4" t="s">
        <x:v>99</x:v>
      </x:c>
      <x:c r="D78" s="4" t="s">
        <x:v>115</x:v>
      </x:c>
      <x:c r="E78" s="4" t="s">
        <x:v>29</x:v>
      </x:c>
      <x:c r="F78" s="4">
        <x:v>12.0</x:v>
      </x:c>
      <x:c r="G78" s="4">
        <x:v>11.0</x:v>
      </x:c>
      <x:c r="H78" s="4">
        <x:v>1.0</x:v>
      </x:c>
      <x:c r="I78" s="4">
        <x:v>11.0</x:v>
      </x:c>
      <x:c r="J78" s="4">
        <x:v>10.0</x:v>
      </x:c>
      <x:c r="K78" s="4">
        <x:v>1.0</x:v>
      </x:c>
      <x:c r="L78" s="4">
        <x:v>44.0</x:v>
      </x:c>
      <x:c r="M78" s="4">
        <x:v>44.0</x:v>
      </x:c>
    </x:row>
    <x:row r="79" ht="15.75" customHeight="1">
      <x:c r="A79" s="4">
        <x:v>5620.0</x:v>
      </x:c>
      <x:c r="B79" s="4" t="s">
        <x:v>98</x:v>
      </x:c>
      <x:c r="C79" s="4" t="s">
        <x:v>116</x:v>
      </x:c>
      <x:c r="D79" s="4" t="s">
        <x:v>117</x:v>
      </x:c>
      <x:c r="E79" s="4" t="s">
        <x:v>31</x:v>
      </x:c>
      <x:c r="F79" s="4">
        <x:v>12.0</x:v>
      </x:c>
      <x:c r="G79" s="4">
        <x:v>12.0</x:v>
      </x:c>
      <x:c r="H79" s="4">
        <x:v>0.0</x:v>
      </x:c>
      <x:c r="I79" s="4">
        <x:v>12.0</x:v>
      </x:c>
      <x:c r="J79" s="4">
        <x:v>12.0</x:v>
      </x:c>
      <x:c r="K79" s="4">
        <x:v>0.0</x:v>
      </x:c>
      <x:c r="L79" s="4">
        <x:v>43.0</x:v>
      </x:c>
      <x:c r="M79" s="4">
        <x:v>43.0</x:v>
      </x:c>
    </x:row>
    <x:row r="80" ht="15.75" customHeight="1">
      <x:c r="A80" s="4">
        <x:v>5273.0</x:v>
      </x:c>
      <x:c r="B80" s="4" t="s">
        <x:v>98</x:v>
      </x:c>
      <x:c r="C80" s="4" t="s">
        <x:v>116</x:v>
      </x:c>
      <x:c r="D80" s="4" t="s">
        <x:v>118</x:v>
      </x:c>
      <x:c r="E80" s="4" t="s">
        <x:v>21</x:v>
      </x:c>
      <x:c r="F80" s="4">
        <x:v>12.0</x:v>
      </x:c>
      <x:c r="G80" s="4">
        <x:v>11.0</x:v>
      </x:c>
      <x:c r="H80" s="4">
        <x:v>1.0</x:v>
      </x:c>
      <x:c r="I80" s="4">
        <x:v>12.0</x:v>
      </x:c>
      <x:c r="J80" s="4">
        <x:v>11.0</x:v>
      </x:c>
      <x:c r="K80" s="4">
        <x:v>1.0</x:v>
      </x:c>
      <x:c r="L80" s="4">
        <x:v>39.0</x:v>
      </x:c>
      <x:c r="M80" s="4">
        <x:v>39.0</x:v>
      </x:c>
    </x:row>
    <x:row r="81" ht="15.75" customHeight="1">
      <x:c r="A81" s="4">
        <x:v>4409.0</x:v>
      </x:c>
      <x:c r="B81" s="4" t="s">
        <x:v>98</x:v>
      </x:c>
      <x:c r="C81" s="4" t="s">
        <x:v>103</x:v>
      </x:c>
      <x:c r="D81" s="4" t="s">
        <x:v>119</x:v>
      </x:c>
      <x:c r="E81" s="4" t="s">
        <x:v>23</x:v>
      </x:c>
      <x:c r="F81" s="4">
        <x:v>11.0</x:v>
      </x:c>
      <x:c r="G81" s="4">
        <x:v>11.0</x:v>
      </x:c>
      <x:c r="H81" s="4">
        <x:v>0.0</x:v>
      </x:c>
      <x:c r="I81" s="4">
        <x:v>11.0</x:v>
      </x:c>
      <x:c r="J81" s="4">
        <x:v>11.0</x:v>
      </x:c>
      <x:c r="K81" s="4">
        <x:v>0.0</x:v>
      </x:c>
      <x:c r="L81" s="4">
        <x:v>32.0</x:v>
      </x:c>
      <x:c r="M81" s="4">
        <x:v>32.0</x:v>
      </x:c>
    </x:row>
    <x:row r="82" ht="15.75" customHeight="1">
      <x:c r="A82" s="4">
        <x:v>2296.0</x:v>
      </x:c>
      <x:c r="B82" s="4" t="s">
        <x:v>98</x:v>
      </x:c>
      <x:c r="C82" s="4" t="s">
        <x:v>103</x:v>
      </x:c>
      <x:c r="D82" s="4" t="s">
        <x:v>120</x:v>
      </x:c>
      <x:c r="E82" s="4" t="s">
        <x:v>25</x:v>
      </x:c>
      <x:c r="F82" s="4">
        <x:v>11.0</x:v>
      </x:c>
      <x:c r="G82" s="4">
        <x:v>11.0</x:v>
      </x:c>
      <x:c r="H82" s="4">
        <x:v>0.0</x:v>
      </x:c>
      <x:c r="I82" s="4">
        <x:v>11.0</x:v>
      </x:c>
      <x:c r="J82" s="4">
        <x:v>11.0</x:v>
      </x:c>
      <x:c r="K82" s="4">
        <x:v>0.0</x:v>
      </x:c>
      <x:c r="L82" s="4">
        <x:v>30.0</x:v>
      </x:c>
      <x:c r="M82" s="4">
        <x:v>30.0</x:v>
      </x:c>
    </x:row>
    <x:row r="83" ht="15.75" customHeight="1">
      <x:c r="A83" s="4">
        <x:v>4317.0</x:v>
      </x:c>
      <x:c r="B83" s="4" t="s">
        <x:v>98</x:v>
      </x:c>
      <x:c r="C83" s="4" t="s">
        <x:v>103</x:v>
      </x:c>
      <x:c r="D83" s="4" t="s">
        <x:v>121</x:v>
      </x:c>
      <x:c r="E83" s="4" t="s">
        <x:v>25</x:v>
      </x:c>
      <x:c r="F83" s="4">
        <x:v>11.0</x:v>
      </x:c>
      <x:c r="G83" s="4">
        <x:v>10.0</x:v>
      </x:c>
      <x:c r="H83" s="4">
        <x:v>1.0</x:v>
      </x:c>
      <x:c r="I83" s="4">
        <x:v>11.0</x:v>
      </x:c>
      <x:c r="J83" s="4">
        <x:v>10.0</x:v>
      </x:c>
      <x:c r="K83" s="4">
        <x:v>1.0</x:v>
      </x:c>
      <x:c r="L83" s="4">
        <x:v>26.0</x:v>
      </x:c>
      <x:c r="M83" s="4">
        <x:v>26.0</x:v>
      </x:c>
    </x:row>
    <x:row r="84" ht="15.75" customHeight="1">
      <x:c r="A84" s="4">
        <x:v>6956.0</x:v>
      </x:c>
      <x:c r="B84" s="4" t="s">
        <x:v>98</x:v>
      </x:c>
      <x:c r="C84" s="4" t="s">
        <x:v>103</x:v>
      </x:c>
      <x:c r="D84" s="4" t="s">
        <x:v>122</x:v>
      </x:c>
      <x:c r="E84" s="4" t="s">
        <x:v>51</x:v>
      </x:c>
      <x:c r="F84" s="4">
        <x:v>11.0</x:v>
      </x:c>
      <x:c r="G84" s="4">
        <x:v>11.0</x:v>
      </x:c>
      <x:c r="H84" s="4">
        <x:v>0.0</x:v>
      </x:c>
      <x:c r="I84" s="4">
        <x:v>11.0</x:v>
      </x:c>
      <x:c r="J84" s="4">
        <x:v>11.0</x:v>
      </x:c>
      <x:c r="K84" s="4">
        <x:v>0.0</x:v>
      </x:c>
      <x:c r="L84" s="4">
        <x:v>40.0</x:v>
      </x:c>
      <x:c r="M84" s="4">
        <x:v>40.0</x:v>
      </x:c>
    </x:row>
    <x:row r="85" ht="15.75" customHeight="1">
      <x:c r="A85" s="4">
        <x:v>6046.0</x:v>
      </x:c>
      <x:c r="B85" s="4" t="s">
        <x:v>98</x:v>
      </x:c>
      <x:c r="C85" s="4" t="s">
        <x:v>103</x:v>
      </x:c>
      <x:c r="D85" s="4" t="s">
        <x:v>123</x:v>
      </x:c>
      <x:c r="E85" s="4" t="s">
        <x:v>27</x:v>
      </x:c>
      <x:c r="F85" s="4">
        <x:v>10.0</x:v>
      </x:c>
      <x:c r="G85" s="4">
        <x:v>11.0</x:v>
      </x:c>
      <x:c r="H85" s="4">
        <x:v>-1.0</x:v>
      </x:c>
      <x:c r="I85" s="4">
        <x:v>10.0</x:v>
      </x:c>
      <x:c r="J85" s="4">
        <x:v>11.0</x:v>
      </x:c>
      <x:c r="K85" s="4">
        <x:v>-1.0</x:v>
      </x:c>
      <x:c r="L85" s="4">
        <x:v>34.0</x:v>
      </x:c>
      <x:c r="M85" s="4">
        <x:v>34.0</x:v>
      </x:c>
    </x:row>
    <x:row r="86" ht="15.75" customHeight="1">
      <x:c r="A86" s="4">
        <x:v>5514.0</x:v>
      </x:c>
      <x:c r="B86" s="4" t="s">
        <x:v>98</x:v>
      </x:c>
      <x:c r="C86" s="4" t="s">
        <x:v>124</x:v>
      </x:c>
      <x:c r="D86" s="4" t="s">
        <x:v>125</x:v>
      </x:c>
      <x:c r="E86" s="4" t="s">
        <x:v>37</x:v>
      </x:c>
      <x:c r="F86" s="4">
        <x:v>10.0</x:v>
      </x:c>
      <x:c r="G86" s="4">
        <x:v>9.0</x:v>
      </x:c>
      <x:c r="H86" s="4">
        <x:v>1.0</x:v>
      </x:c>
      <x:c r="I86" s="4">
        <x:v>11.0</x:v>
      </x:c>
      <x:c r="J86" s="4">
        <x:v>10.0</x:v>
      </x:c>
      <x:c r="K86" s="4">
        <x:v>1.0</x:v>
      </x:c>
      <x:c r="L86" s="4">
        <x:v>20.0</x:v>
      </x:c>
      <x:c r="M86" s="4">
        <x:v>23.0</x:v>
      </x:c>
    </x:row>
    <x:row r="87" ht="15.75" customHeight="1">
      <x:c r="A87" s="4">
        <x:v>2593.0</x:v>
      </x:c>
      <x:c r="B87" s="4" t="s">
        <x:v>98</x:v>
      </x:c>
      <x:c r="C87" s="4" t="s">
        <x:v>116</x:v>
      </x:c>
      <x:c r="D87" s="4" t="s">
        <x:v>126</x:v>
      </x:c>
      <x:c r="E87" s="4" t="s">
        <x:v>37</x:v>
      </x:c>
      <x:c r="F87" s="4">
        <x:v>10.0</x:v>
      </x:c>
      <x:c r="G87" s="4">
        <x:v>10.0</x:v>
      </x:c>
      <x:c r="H87" s="4">
        <x:v>0.0</x:v>
      </x:c>
      <x:c r="I87" s="4">
        <x:v>10.0</x:v>
      </x:c>
      <x:c r="J87" s="4">
        <x:v>10.0</x:v>
      </x:c>
      <x:c r="K87" s="4">
        <x:v>0.0</x:v>
      </x:c>
      <x:c r="L87" s="4">
        <x:v>32.0</x:v>
      </x:c>
      <x:c r="M87" s="4">
        <x:v>32.0</x:v>
      </x:c>
    </x:row>
    <x:row r="88" ht="15.75" customHeight="1">
      <x:c r="A88" s="4">
        <x:v>5877.0</x:v>
      </x:c>
      <x:c r="B88" s="4" t="s">
        <x:v>98</x:v>
      </x:c>
      <x:c r="C88" s="4" t="s">
        <x:v>127</x:v>
      </x:c>
      <x:c r="D88" s="4" t="s">
        <x:v>128</x:v>
      </x:c>
      <x:c r="E88" s="4" t="s">
        <x:v>19</x:v>
      </x:c>
      <x:c r="F88" s="4">
        <x:v>10.0</x:v>
      </x:c>
      <x:c r="G88" s="4">
        <x:v>10.0</x:v>
      </x:c>
      <x:c r="H88" s="4">
        <x:v>0.0</x:v>
      </x:c>
      <x:c r="I88" s="4">
        <x:v>11.0</x:v>
      </x:c>
      <x:c r="J88" s="4">
        <x:v>11.0</x:v>
      </x:c>
      <x:c r="K88" s="4">
        <x:v>0.0</x:v>
      </x:c>
      <x:c r="L88" s="4">
        <x:v>31.0</x:v>
      </x:c>
      <x:c r="M88" s="4">
        <x:v>35.0</x:v>
      </x:c>
    </x:row>
    <x:row r="89" ht="15.75" customHeight="1">
      <x:c r="A89" s="4">
        <x:v>5840.0</x:v>
      </x:c>
      <x:c r="B89" s="4" t="s">
        <x:v>98</x:v>
      </x:c>
      <x:c r="C89" s="4" t="s">
        <x:v>116</x:v>
      </x:c>
      <x:c r="D89" s="4" t="s">
        <x:v>129</x:v>
      </x:c>
      <x:c r="E89" s="4" t="s">
        <x:v>23</x:v>
      </x:c>
      <x:c r="F89" s="4">
        <x:v>10.0</x:v>
      </x:c>
      <x:c r="G89" s="4">
        <x:v>10.0</x:v>
      </x:c>
      <x:c r="H89" s="4">
        <x:v>0.0</x:v>
      </x:c>
      <x:c r="I89" s="4">
        <x:v>10.0</x:v>
      </x:c>
      <x:c r="J89" s="4">
        <x:v>10.0</x:v>
      </x:c>
      <x:c r="K89" s="4">
        <x:v>0.0</x:v>
      </x:c>
      <x:c r="L89" s="4">
        <x:v>21.0</x:v>
      </x:c>
      <x:c r="M89" s="4">
        <x:v>21.0</x:v>
      </x:c>
    </x:row>
    <x:row r="90" ht="15.75" customHeight="1">
      <x:c r="A90" s="4">
        <x:v>5862.0</x:v>
      </x:c>
      <x:c r="B90" s="4" t="s">
        <x:v>98</x:v>
      </x:c>
      <x:c r="C90" s="4" t="s">
        <x:v>116</x:v>
      </x:c>
      <x:c r="D90" s="4" t="s">
        <x:v>130</x:v>
      </x:c>
      <x:c r="E90" s="4" t="s">
        <x:v>45</x:v>
      </x:c>
      <x:c r="F90" s="4">
        <x:v>10.0</x:v>
      </x:c>
      <x:c r="G90" s="4">
        <x:v>10.0</x:v>
      </x:c>
      <x:c r="H90" s="4">
        <x:v>0.0</x:v>
      </x:c>
      <x:c r="I90" s="4">
        <x:v>10.0</x:v>
      </x:c>
      <x:c r="J90" s="4">
        <x:v>10.0</x:v>
      </x:c>
      <x:c r="K90" s="4">
        <x:v>0.0</x:v>
      </x:c>
      <x:c r="L90" s="4">
        <x:v>27.0</x:v>
      </x:c>
      <x:c r="M90" s="4">
        <x:v>27.0</x:v>
      </x:c>
    </x:row>
    <x:row r="91" ht="15.75" customHeight="1">
      <x:c r="A91" s="4">
        <x:v>393.0</x:v>
      </x:c>
      <x:c r="B91" s="4" t="s">
        <x:v>98</x:v>
      </x:c>
      <x:c r="C91" s="4" t="s">
        <x:v>103</x:v>
      </x:c>
      <x:c r="D91" s="4" t="s">
        <x:v>131</x:v>
      </x:c>
      <x:c r="E91" s="4" t="s">
        <x:v>39</x:v>
      </x:c>
      <x:c r="F91" s="4">
        <x:v>9.0</x:v>
      </x:c>
      <x:c r="G91" s="4">
        <x:v>7.0</x:v>
      </x:c>
      <x:c r="H91" s="4">
        <x:v>2.0</x:v>
      </x:c>
      <x:c r="I91" s="4">
        <x:v>9.0</x:v>
      </x:c>
      <x:c r="J91" s="4">
        <x:v>7.0</x:v>
      </x:c>
      <x:c r="K91" s="4">
        <x:v>2.0</x:v>
      </x:c>
      <x:c r="L91" s="4">
        <x:v>18.0</x:v>
      </x:c>
      <x:c r="M91" s="4">
        <x:v>18.0</x:v>
      </x:c>
    </x:row>
    <x:row r="92" ht="15.75" customHeight="1">
      <x:c r="A92" s="4">
        <x:v>513.0</x:v>
      </x:c>
      <x:c r="B92" s="4" t="s">
        <x:v>98</x:v>
      </x:c>
      <x:c r="C92" s="4" t="s">
        <x:v>103</x:v>
      </x:c>
      <x:c r="D92" s="4" t="s">
        <x:v>132</x:v>
      </x:c>
      <x:c r="E92" s="4" t="s">
        <x:v>19</x:v>
      </x:c>
      <x:c r="F92" s="4">
        <x:v>9.0</x:v>
      </x:c>
      <x:c r="G92" s="4">
        <x:v>9.0</x:v>
      </x:c>
      <x:c r="H92" s="4">
        <x:v>0.0</x:v>
      </x:c>
      <x:c r="I92" s="4">
        <x:v>9.0</x:v>
      </x:c>
      <x:c r="J92" s="4">
        <x:v>9.0</x:v>
      </x:c>
      <x:c r="K92" s="4">
        <x:v>0.0</x:v>
      </x:c>
      <x:c r="L92" s="4">
        <x:v>26.0</x:v>
      </x:c>
      <x:c r="M92" s="4">
        <x:v>26.0</x:v>
      </x:c>
    </x:row>
    <x:row r="93" ht="15.75" customHeight="1">
      <x:c r="A93" s="4">
        <x:v>4976.0</x:v>
      </x:c>
      <x:c r="B93" s="4" t="s">
        <x:v>98</x:v>
      </x:c>
      <x:c r="C93" s="4" t="s">
        <x:v>133</x:v>
      </x:c>
      <x:c r="D93" s="4" t="s">
        <x:v>134</x:v>
      </x:c>
      <x:c r="E93" s="4" t="s">
        <x:v>17</x:v>
      </x:c>
      <x:c r="F93" s="4">
        <x:v>9.0</x:v>
      </x:c>
      <x:c r="G93" s="4">
        <x:v>9.0</x:v>
      </x:c>
      <x:c r="H93" s="4">
        <x:v>0.0</x:v>
      </x:c>
      <x:c r="I93" s="4">
        <x:v>10.0</x:v>
      </x:c>
      <x:c r="J93" s="4">
        <x:v>10.0</x:v>
      </x:c>
      <x:c r="K93" s="4">
        <x:v>0.0</x:v>
      </x:c>
      <x:c r="L93" s="4">
        <x:v>28.0</x:v>
      </x:c>
      <x:c r="M93" s="4">
        <x:v>31.0</x:v>
      </x:c>
    </x:row>
    <x:row r="94" ht="15.75" customHeight="1">
      <x:c r="A94" s="4">
        <x:v>5833.0</x:v>
      </x:c>
      <x:c r="B94" s="4" t="s">
        <x:v>98</x:v>
      </x:c>
      <x:c r="C94" s="4" t="s">
        <x:v>103</x:v>
      </x:c>
      <x:c r="D94" s="4" t="s">
        <x:v>135</x:v>
      </x:c>
      <x:c r="E94" s="4" t="s">
        <x:v>31</x:v>
      </x:c>
      <x:c r="F94" s="4">
        <x:v>9.0</x:v>
      </x:c>
      <x:c r="G94" s="4">
        <x:v>9.0</x:v>
      </x:c>
      <x:c r="H94" s="4">
        <x:v>0.0</x:v>
      </x:c>
      <x:c r="I94" s="4">
        <x:v>9.0</x:v>
      </x:c>
      <x:c r="J94" s="4">
        <x:v>9.0</x:v>
      </x:c>
      <x:c r="K94" s="4">
        <x:v>0.0</x:v>
      </x:c>
      <x:c r="L94" s="4">
        <x:v>20.0</x:v>
      </x:c>
      <x:c r="M94" s="4">
        <x:v>20.0</x:v>
      </x:c>
    </x:row>
    <x:row r="95" ht="15.75" customHeight="1">
      <x:c r="A95" s="4">
        <x:v>5835.0</x:v>
      </x:c>
      <x:c r="B95" s="4" t="s">
        <x:v>98</x:v>
      </x:c>
      <x:c r="C95" s="4" t="s">
        <x:v>103</x:v>
      </x:c>
      <x:c r="D95" s="4" t="s">
        <x:v>136</x:v>
      </x:c>
      <x:c r="E95" s="4" t="s">
        <x:v>47</x:v>
      </x:c>
      <x:c r="F95" s="4">
        <x:v>9.0</x:v>
      </x:c>
      <x:c r="G95" s="4">
        <x:v>8.0</x:v>
      </x:c>
      <x:c r="H95" s="4">
        <x:v>1.0</x:v>
      </x:c>
      <x:c r="I95" s="4">
        <x:v>9.0</x:v>
      </x:c>
      <x:c r="J95" s="4">
        <x:v>8.0</x:v>
      </x:c>
      <x:c r="K95" s="4">
        <x:v>1.0</x:v>
      </x:c>
      <x:c r="L95" s="4">
        <x:v>23.0</x:v>
      </x:c>
      <x:c r="M95" s="4">
        <x:v>23.0</x:v>
      </x:c>
    </x:row>
    <x:row r="96" ht="15.75" customHeight="1">
      <x:c r="A96" s="4">
        <x:v>5022.0</x:v>
      </x:c>
      <x:c r="B96" s="4" t="s">
        <x:v>98</x:v>
      </x:c>
      <x:c r="C96" s="4" t="s">
        <x:v>103</x:v>
      </x:c>
      <x:c r="D96" s="4" t="s">
        <x:v>137</x:v>
      </x:c>
      <x:c r="E96" s="4" t="s">
        <x:v>21</x:v>
      </x:c>
      <x:c r="F96" s="4">
        <x:v>9.0</x:v>
      </x:c>
      <x:c r="G96" s="4">
        <x:v>7.0</x:v>
      </x:c>
      <x:c r="H96" s="4">
        <x:v>2.0</x:v>
      </x:c>
      <x:c r="I96" s="4">
        <x:v>9.0</x:v>
      </x:c>
      <x:c r="J96" s="4">
        <x:v>7.0</x:v>
      </x:c>
      <x:c r="K96" s="4">
        <x:v>2.0</x:v>
      </x:c>
      <x:c r="L96" s="4">
        <x:v>21.0</x:v>
      </x:c>
      <x:c r="M96" s="4">
        <x:v>21.0</x:v>
      </x:c>
    </x:row>
    <x:row r="97" ht="15.75" customHeight="1">
      <x:c r="A97" s="4">
        <x:v>6202.0</x:v>
      </x:c>
      <x:c r="B97" s="4" t="s">
        <x:v>98</x:v>
      </x:c>
      <x:c r="C97" s="4" t="s">
        <x:v>103</x:v>
      </x:c>
      <x:c r="D97" s="4" t="s">
        <x:v>138</x:v>
      </x:c>
      <x:c r="E97" s="4" t="s">
        <x:v>23</x:v>
      </x:c>
      <x:c r="F97" s="4">
        <x:v>9.0</x:v>
      </x:c>
      <x:c r="G97" s="4">
        <x:v>10.0</x:v>
      </x:c>
      <x:c r="H97" s="4">
        <x:v>-1.0</x:v>
      </x:c>
      <x:c r="I97" s="4">
        <x:v>9.0</x:v>
      </x:c>
      <x:c r="J97" s="4">
        <x:v>10.0</x:v>
      </x:c>
      <x:c r="K97" s="4">
        <x:v>-1.0</x:v>
      </x:c>
      <x:c r="L97" s="4">
        <x:v>18.0</x:v>
      </x:c>
      <x:c r="M97" s="4">
        <x:v>18.0</x:v>
      </x:c>
    </x:row>
    <x:row r="98" ht="15.75" customHeight="1">
      <x:c r="A98" s="4">
        <x:v>6664.0</x:v>
      </x:c>
      <x:c r="B98" s="4" t="s">
        <x:v>98</x:v>
      </x:c>
      <x:c r="C98" s="4" t="s">
        <x:v>139</x:v>
      </x:c>
      <x:c r="D98" s="4" t="s">
        <x:v>140</x:v>
      </x:c>
      <x:c r="E98" s="4" t="s">
        <x:v>45</x:v>
      </x:c>
      <x:c r="F98" s="4">
        <x:v>9.0</x:v>
      </x:c>
      <x:c r="G98" s="4">
        <x:v>8.0</x:v>
      </x:c>
      <x:c r="H98" s="4">
        <x:v>1.0</x:v>
      </x:c>
      <x:c r="I98" s="4">
        <x:v>10.0</x:v>
      </x:c>
      <x:c r="J98" s="4">
        <x:v>9.0</x:v>
      </x:c>
      <x:c r="K98" s="4">
        <x:v>1.0</x:v>
      </x:c>
      <x:c r="L98" s="4">
        <x:v>21.0</x:v>
      </x:c>
      <x:c r="M98" s="4">
        <x:v>24.0</x:v>
      </x:c>
    </x:row>
    <x:row r="99" ht="15.75" customHeight="1">
      <x:c r="A99" s="4">
        <x:v>4159.0</x:v>
      </x:c>
      <x:c r="B99" s="4" t="s">
        <x:v>98</x:v>
      </x:c>
      <x:c r="C99" s="4" t="s">
        <x:v>103</x:v>
      </x:c>
      <x:c r="D99" s="4" t="s">
        <x:v>141</x:v>
      </x:c>
      <x:c r="E99" s="4" t="s">
        <x:v>19</x:v>
      </x:c>
      <x:c r="F99" s="4">
        <x:v>9.0</x:v>
      </x:c>
      <x:c r="G99" s="4">
        <x:v>9.0</x:v>
      </x:c>
      <x:c r="H99" s="4">
        <x:v>0.0</x:v>
      </x:c>
      <x:c r="I99" s="4">
        <x:v>9.0</x:v>
      </x:c>
      <x:c r="J99" s="4">
        <x:v>9.0</x:v>
      </x:c>
      <x:c r="K99" s="4">
        <x:v>0.0</x:v>
      </x:c>
      <x:c r="L99" s="4">
        <x:v>20.0</x:v>
      </x:c>
      <x:c r="M99" s="4">
        <x:v>20.0</x:v>
      </x:c>
    </x:row>
    <x:row r="100" ht="15.75" customHeight="1">
      <x:c r="A100" s="4">
        <x:v>787.0</x:v>
      </x:c>
      <x:c r="B100" s="4" t="s">
        <x:v>98</x:v>
      </x:c>
      <x:c r="C100" s="4" t="s">
        <x:v>103</x:v>
      </x:c>
      <x:c r="D100" s="4" t="s">
        <x:v>142</x:v>
      </x:c>
      <x:c r="E100" s="4" t="s">
        <x:v>27</x:v>
      </x:c>
      <x:c r="F100" s="4">
        <x:v>8.0</x:v>
      </x:c>
      <x:c r="G100" s="4">
        <x:v>8.0</x:v>
      </x:c>
      <x:c r="H100" s="4">
        <x:v>0.0</x:v>
      </x:c>
      <x:c r="I100" s="4">
        <x:v>8.0</x:v>
      </x:c>
      <x:c r="J100" s="4">
        <x:v>8.0</x:v>
      </x:c>
      <x:c r="K100" s="4">
        <x:v>0.0</x:v>
      </x:c>
      <x:c r="L100" s="4">
        <x:v>15.0</x:v>
      </x:c>
      <x:c r="M100" s="4">
        <x:v>15.0</x:v>
      </x:c>
    </x:row>
    <x:row r="101" ht="15.75" customHeight="1">
      <x:c r="A101" s="4">
        <x:v>5526.0</x:v>
      </x:c>
      <x:c r="B101" s="4" t="s">
        <x:v>98</x:v>
      </x:c>
      <x:c r="C101" s="4" t="s">
        <x:v>103</x:v>
      </x:c>
      <x:c r="D101" s="4" t="s">
        <x:v>143</x:v>
      </x:c>
      <x:c r="E101" s="4" t="s">
        <x:v>27</x:v>
      </x:c>
      <x:c r="F101" s="4">
        <x:v>8.0</x:v>
      </x:c>
      <x:c r="G101" s="4">
        <x:v>8.0</x:v>
      </x:c>
      <x:c r="H101" s="4">
        <x:v>0.0</x:v>
      </x:c>
      <x:c r="I101" s="4">
        <x:v>8.0</x:v>
      </x:c>
      <x:c r="J101" s="4">
        <x:v>8.0</x:v>
      </x:c>
      <x:c r="K101" s="4">
        <x:v>0.0</x:v>
      </x:c>
      <x:c r="L101" s="4">
        <x:v>24.0</x:v>
      </x:c>
      <x:c r="M101" s="4">
        <x:v>24.0</x:v>
      </x:c>
    </x:row>
    <x:row r="102" ht="15.75" customHeight="1">
      <x:c r="A102" s="4">
        <x:v>5578.0</x:v>
      </x:c>
      <x:c r="B102" s="4" t="s">
        <x:v>98</x:v>
      </x:c>
      <x:c r="C102" s="4" t="s">
        <x:v>133</x:v>
      </x:c>
      <x:c r="D102" s="4" t="s">
        <x:v>144</x:v>
      </x:c>
      <x:c r="E102" s="4" t="s">
        <x:v>27</x:v>
      </x:c>
      <x:c r="F102" s="4">
        <x:v>8.0</x:v>
      </x:c>
      <x:c r="G102" s="4">
        <x:v>9.0</x:v>
      </x:c>
      <x:c r="H102" s="4">
        <x:v>-1.0</x:v>
      </x:c>
      <x:c r="I102" s="4">
        <x:v>8.0</x:v>
      </x:c>
      <x:c r="J102" s="4">
        <x:v>9.0</x:v>
      </x:c>
      <x:c r="K102" s="4">
        <x:v>-1.0</x:v>
      </x:c>
      <x:c r="L102" s="4">
        <x:v>22.0</x:v>
      </x:c>
      <x:c r="M102" s="4">
        <x:v>24.0</x:v>
      </x:c>
    </x:row>
    <x:row r="103" ht="15.75" customHeight="1">
      <x:c r="A103" s="4">
        <x:v>6042.0</x:v>
      </x:c>
      <x:c r="B103" s="4" t="s">
        <x:v>98</x:v>
      </x:c>
      <x:c r="C103" s="4" t="s">
        <x:v>103</x:v>
      </x:c>
      <x:c r="D103" s="4" t="s">
        <x:v>145</x:v>
      </x:c>
      <x:c r="E103" s="4" t="s">
        <x:v>33</x:v>
      </x:c>
      <x:c r="F103" s="4">
        <x:v>8.0</x:v>
      </x:c>
      <x:c r="G103" s="4">
        <x:v>8.0</x:v>
      </x:c>
      <x:c r="H103" s="4">
        <x:v>0.0</x:v>
      </x:c>
      <x:c r="I103" s="4">
        <x:v>8.0</x:v>
      </x:c>
      <x:c r="J103" s="4">
        <x:v>8.0</x:v>
      </x:c>
      <x:c r="K103" s="4">
        <x:v>0.0</x:v>
      </x:c>
      <x:c r="L103" s="4">
        <x:v>21.0</x:v>
      </x:c>
      <x:c r="M103" s="4">
        <x:v>21.0</x:v>
      </x:c>
    </x:row>
    <x:row r="104" ht="15.75" customHeight="1">
      <x:c r="A104" s="4">
        <x:v>7068.0</x:v>
      </x:c>
      <x:c r="B104" s="4" t="s">
        <x:v>98</x:v>
      </x:c>
      <x:c r="C104" s="4" t="s">
        <x:v>103</x:v>
      </x:c>
      <x:c r="D104" s="4" t="s">
        <x:v>146</x:v>
      </x:c>
      <x:c r="E104" s="4" t="s">
        <x:v>33</x:v>
      </x:c>
      <x:c r="F104" s="4">
        <x:v>8.0</x:v>
      </x:c>
      <x:c r="G104" s="4">
        <x:v>8.0</x:v>
      </x:c>
      <x:c r="H104" s="4">
        <x:v>0.0</x:v>
      </x:c>
      <x:c r="I104" s="4">
        <x:v>8.0</x:v>
      </x:c>
      <x:c r="J104" s="4">
        <x:v>8.0</x:v>
      </x:c>
      <x:c r="K104" s="4">
        <x:v>0.0</x:v>
      </x:c>
      <x:c r="L104" s="4">
        <x:v>18.0</x:v>
      </x:c>
      <x:c r="M104" s="4">
        <x:v>18.0</x:v>
      </x:c>
    </x:row>
    <x:row r="105" ht="15.75" customHeight="1">
      <x:c r="A105" s="4">
        <x:v>4734.0</x:v>
      </x:c>
      <x:c r="B105" s="4" t="s">
        <x:v>98</x:v>
      </x:c>
      <x:c r="C105" s="4" t="s">
        <x:v>116</x:v>
      </x:c>
      <x:c r="D105" s="4" t="s">
        <x:v>147</x:v>
      </x:c>
      <x:c r="E105" s="4" t="s">
        <x:v>33</x:v>
      </x:c>
      <x:c r="F105" s="4">
        <x:v>8.0</x:v>
      </x:c>
      <x:c r="G105" s="4">
        <x:v>9.0</x:v>
      </x:c>
      <x:c r="H105" s="4">
        <x:v>-1.0</x:v>
      </x:c>
      <x:c r="I105" s="4">
        <x:v>8.0</x:v>
      </x:c>
      <x:c r="J105" s="4">
        <x:v>9.0</x:v>
      </x:c>
      <x:c r="K105" s="4">
        <x:v>-1.0</x:v>
      </x:c>
      <x:c r="L105" s="4">
        <x:v>21.0</x:v>
      </x:c>
      <x:c r="M105" s="4">
        <x:v>21.0</x:v>
      </x:c>
    </x:row>
    <x:row r="106" ht="15.75" customHeight="1">
      <x:c r="A106" s="4">
        <x:v>6495.0</x:v>
      </x:c>
      <x:c r="B106" s="4" t="s">
        <x:v>98</x:v>
      </x:c>
      <x:c r="C106" s="4" t="s">
        <x:v>103</x:v>
      </x:c>
      <x:c r="D106" s="4" t="s">
        <x:v>148</x:v>
      </x:c>
      <x:c r="E106" s="4" t="s">
        <x:v>29</x:v>
      </x:c>
      <x:c r="F106" s="4">
        <x:v>8.0</x:v>
      </x:c>
      <x:c r="G106" s="4">
        <x:v>7.0</x:v>
      </x:c>
      <x:c r="H106" s="4">
        <x:v>1.0</x:v>
      </x:c>
      <x:c r="I106" s="4">
        <x:v>8.0</x:v>
      </x:c>
      <x:c r="J106" s="4">
        <x:v>7.0</x:v>
      </x:c>
      <x:c r="K106" s="4">
        <x:v>1.0</x:v>
      </x:c>
      <x:c r="L106" s="4">
        <x:v>17.0</x:v>
      </x:c>
      <x:c r="M106" s="4">
        <x:v>17.0</x:v>
      </x:c>
    </x:row>
    <x:row r="107" ht="15.75" customHeight="1">
      <x:c r="A107" s="4">
        <x:v>4378.0</x:v>
      </x:c>
      <x:c r="B107" s="4" t="s">
        <x:v>98</x:v>
      </x:c>
      <x:c r="C107" s="4" t="s">
        <x:v>124</x:v>
      </x:c>
      <x:c r="D107" s="4" t="s">
        <x:v>149</x:v>
      </x:c>
      <x:c r="E107" s="4" t="s">
        <x:v>29</x:v>
      </x:c>
      <x:c r="F107" s="4">
        <x:v>8.0</x:v>
      </x:c>
      <x:c r="G107" s="4">
        <x:v>7.0</x:v>
      </x:c>
      <x:c r="H107" s="4">
        <x:v>1.0</x:v>
      </x:c>
      <x:c r="I107" s="4">
        <x:v>8.0</x:v>
      </x:c>
      <x:c r="J107" s="4">
        <x:v>7.0</x:v>
      </x:c>
      <x:c r="K107" s="4">
        <x:v>1.0</x:v>
      </x:c>
      <x:c r="L107" s="4">
        <x:v>16.0</x:v>
      </x:c>
      <x:c r="M107" s="4">
        <x:v>17.0</x:v>
      </x:c>
    </x:row>
    <x:row r="108" ht="15.75" customHeight="1">
      <x:c r="A108" s="4">
        <x:v>6217.0</x:v>
      </x:c>
      <x:c r="B108" s="4" t="s">
        <x:v>98</x:v>
      </x:c>
      <x:c r="C108" s="4" t="s">
        <x:v>103</x:v>
      </x:c>
      <x:c r="D108" s="4" t="s">
        <x:v>150</x:v>
      </x:c>
      <x:c r="E108" s="4" t="s">
        <x:v>19</x:v>
      </x:c>
      <x:c r="F108" s="4">
        <x:v>8.0</x:v>
      </x:c>
      <x:c r="G108" s="4">
        <x:v>9.0</x:v>
      </x:c>
      <x:c r="H108" s="4">
        <x:v>-1.0</x:v>
      </x:c>
      <x:c r="I108" s="4">
        <x:v>8.0</x:v>
      </x:c>
      <x:c r="J108" s="4">
        <x:v>9.0</x:v>
      </x:c>
      <x:c r="K108" s="4">
        <x:v>-1.0</x:v>
      </x:c>
      <x:c r="L108" s="4">
        <x:v>20.0</x:v>
      </x:c>
      <x:c r="M108" s="4">
        <x:v>20.0</x:v>
      </x:c>
    </x:row>
    <x:row r="109" ht="15.75" customHeight="1">
      <x:c r="A109" s="4">
        <x:v>322.0</x:v>
      </x:c>
      <x:c r="B109" s="4" t="s">
        <x:v>98</x:v>
      </x:c>
      <x:c r="C109" s="4" t="s">
        <x:v>103</x:v>
      </x:c>
      <x:c r="D109" s="4" t="s">
        <x:v>151</x:v>
      </x:c>
      <x:c r="E109" s="4" t="s">
        <x:v>19</x:v>
      </x:c>
      <x:c r="F109" s="4">
        <x:v>8.0</x:v>
      </x:c>
      <x:c r="G109" s="4">
        <x:v>9.0</x:v>
      </x:c>
      <x:c r="H109" s="4">
        <x:v>-1.0</x:v>
      </x:c>
      <x:c r="I109" s="4">
        <x:v>8.0</x:v>
      </x:c>
      <x:c r="J109" s="4">
        <x:v>9.0</x:v>
      </x:c>
      <x:c r="K109" s="4">
        <x:v>-1.0</x:v>
      </x:c>
      <x:c r="L109" s="4">
        <x:v>20.0</x:v>
      </x:c>
      <x:c r="M109" s="4">
        <x:v>20.0</x:v>
      </x:c>
    </x:row>
    <x:row r="110" ht="15.75" customHeight="1">
      <x:c r="A110" s="4">
        <x:v>5831.0</x:v>
      </x:c>
      <x:c r="B110" s="4" t="s">
        <x:v>98</x:v>
      </x:c>
      <x:c r="C110" s="4" t="s">
        <x:v>103</x:v>
      </x:c>
      <x:c r="D110" s="4" t="s">
        <x:v>152</x:v>
      </x:c>
      <x:c r="E110" s="4" t="s">
        <x:v>17</x:v>
      </x:c>
      <x:c r="F110" s="4">
        <x:v>8.0</x:v>
      </x:c>
      <x:c r="G110" s="4">
        <x:v>8.0</x:v>
      </x:c>
      <x:c r="H110" s="4">
        <x:v>0.0</x:v>
      </x:c>
      <x:c r="I110" s="4">
        <x:v>8.0</x:v>
      </x:c>
      <x:c r="J110" s="4">
        <x:v>8.0</x:v>
      </x:c>
      <x:c r="K110" s="4">
        <x:v>0.0</x:v>
      </x:c>
      <x:c r="L110" s="4">
        <x:v>13.0</x:v>
      </x:c>
      <x:c r="M110" s="4">
        <x:v>13.0</x:v>
      </x:c>
    </x:row>
    <x:row r="111" ht="15.75" customHeight="1">
      <x:c r="A111" s="4">
        <x:v>7175.0</x:v>
      </x:c>
      <x:c r="B111" s="4" t="s">
        <x:v>98</x:v>
      </x:c>
      <x:c r="C111" s="4" t="s">
        <x:v>99</x:v>
      </x:c>
      <x:c r="D111" s="4" t="s">
        <x:v>153</x:v>
      </x:c>
      <x:c r="E111" s="4" t="s">
        <x:v>17</x:v>
      </x:c>
      <x:c r="F111" s="4">
        <x:v>8.0</x:v>
      </x:c>
      <x:c r="G111" s="4">
        <x:v>8.0</x:v>
      </x:c>
      <x:c r="H111" s="4">
        <x:v>0.0</x:v>
      </x:c>
      <x:c r="I111" s="4">
        <x:v>7.0</x:v>
      </x:c>
      <x:c r="J111" s="4">
        <x:v>7.0</x:v>
      </x:c>
      <x:c r="K111" s="4">
        <x:v>0.0</x:v>
      </x:c>
      <x:c r="L111" s="4">
        <x:v>17.0</x:v>
      </x:c>
      <x:c r="M111" s="4">
        <x:v>14.0</x:v>
      </x:c>
    </x:row>
    <x:row r="112" ht="15.75" customHeight="1">
      <x:c r="A112" s="4">
        <x:v>2188.0</x:v>
      </x:c>
      <x:c r="B112" s="4" t="s">
        <x:v>98</x:v>
      </x:c>
      <x:c r="C112" s="4" t="s">
        <x:v>154</x:v>
      </x:c>
      <x:c r="D112" s="4" t="s">
        <x:v>155</x:v>
      </x:c>
      <x:c r="E112" s="4" t="s">
        <x:v>31</x:v>
      </x:c>
      <x:c r="F112" s="4">
        <x:v>8.0</x:v>
      </x:c>
      <x:c r="G112" s="4">
        <x:v>8.0</x:v>
      </x:c>
      <x:c r="H112" s="4">
        <x:v>0.0</x:v>
      </x:c>
      <x:c r="I112" s="4">
        <x:v>9.0</x:v>
      </x:c>
      <x:c r="J112" s="4">
        <x:v>9.0</x:v>
      </x:c>
      <x:c r="K112" s="4">
        <x:v>0.0</x:v>
      </x:c>
      <x:c r="L112" s="4">
        <x:v>23.0</x:v>
      </x:c>
      <x:c r="M112" s="4">
        <x:v>26.0</x:v>
      </x:c>
    </x:row>
    <x:row r="113" ht="15.75" customHeight="1">
      <x:c r="A113" s="4">
        <x:v>6632.0</x:v>
      </x:c>
      <x:c r="B113" s="4" t="s">
        <x:v>98</x:v>
      </x:c>
      <x:c r="C113" s="4" t="s">
        <x:v>103</x:v>
      </x:c>
      <x:c r="D113" s="4" t="s">
        <x:v>156</x:v>
      </x:c>
      <x:c r="E113" s="4" t="s">
        <x:v>43</x:v>
      </x:c>
      <x:c r="F113" s="4">
        <x:v>8.0</x:v>
      </x:c>
      <x:c r="G113" s="4">
        <x:v>8.0</x:v>
      </x:c>
      <x:c r="H113" s="4">
        <x:v>0.0</x:v>
      </x:c>
      <x:c r="I113" s="4">
        <x:v>8.0</x:v>
      </x:c>
      <x:c r="J113" s="4">
        <x:v>8.0</x:v>
      </x:c>
      <x:c r="K113" s="4">
        <x:v>0.0</x:v>
      </x:c>
      <x:c r="L113" s="4">
        <x:v>19.0</x:v>
      </x:c>
      <x:c r="M113" s="4">
        <x:v>19.0</x:v>
      </x:c>
    </x:row>
    <x:row r="114" ht="15.75" customHeight="1">
      <x:c r="A114" s="4">
        <x:v>4751.0</x:v>
      </x:c>
      <x:c r="B114" s="4" t="s">
        <x:v>98</x:v>
      </x:c>
      <x:c r="C114" s="4" t="s">
        <x:v>103</x:v>
      </x:c>
      <x:c r="D114" s="4" t="s">
        <x:v>157</x:v>
      </x:c>
      <x:c r="E114" s="4" t="s">
        <x:v>21</x:v>
      </x:c>
      <x:c r="F114" s="4">
        <x:v>8.0</x:v>
      </x:c>
      <x:c r="G114" s="4">
        <x:v>8.0</x:v>
      </x:c>
      <x:c r="H114" s="4">
        <x:v>0.0</x:v>
      </x:c>
      <x:c r="I114" s="4">
        <x:v>8.0</x:v>
      </x:c>
      <x:c r="J114" s="4">
        <x:v>8.0</x:v>
      </x:c>
      <x:c r="K114" s="4">
        <x:v>0.0</x:v>
      </x:c>
      <x:c r="L114" s="4">
        <x:v>25.0</x:v>
      </x:c>
      <x:c r="M114" s="4">
        <x:v>25.0</x:v>
      </x:c>
    </x:row>
    <x:row r="115" ht="15.75" customHeight="1">
      <x:c r="A115" s="4">
        <x:v>6642.0</x:v>
      </x:c>
      <x:c r="B115" s="4" t="s">
        <x:v>98</x:v>
      </x:c>
      <x:c r="C115" s="4" t="s">
        <x:v>103</x:v>
      </x:c>
      <x:c r="D115" s="4" t="s">
        <x:v>158</x:v>
      </x:c>
      <x:c r="E115" s="4" t="s">
        <x:v>41</x:v>
      </x:c>
      <x:c r="F115" s="4">
        <x:v>8.0</x:v>
      </x:c>
      <x:c r="G115" s="4">
        <x:v>8.0</x:v>
      </x:c>
      <x:c r="H115" s="4">
        <x:v>0.0</x:v>
      </x:c>
      <x:c r="I115" s="4">
        <x:v>8.0</x:v>
      </x:c>
      <x:c r="J115" s="4">
        <x:v>8.0</x:v>
      </x:c>
      <x:c r="K115" s="4">
        <x:v>0.0</x:v>
      </x:c>
      <x:c r="L115" s="4">
        <x:v>12.0</x:v>
      </x:c>
      <x:c r="M115" s="4">
        <x:v>12.0</x:v>
      </x:c>
    </x:row>
    <x:row r="116" ht="15.75" customHeight="1">
      <x:c r="A116" s="4">
        <x:v>252.0</x:v>
      </x:c>
      <x:c r="B116" s="4" t="s">
        <x:v>98</x:v>
      </x:c>
      <x:c r="C116" s="4" t="s">
        <x:v>116</x:v>
      </x:c>
      <x:c r="D116" s="4" t="s">
        <x:v>159</x:v>
      </x:c>
      <x:c r="E116" s="4" t="s">
        <x:v>41</x:v>
      </x:c>
      <x:c r="F116" s="4">
        <x:v>8.0</x:v>
      </x:c>
      <x:c r="G116" s="4">
        <x:v>8.0</x:v>
      </x:c>
      <x:c r="H116" s="4">
        <x:v>0.0</x:v>
      </x:c>
      <x:c r="I116" s="4">
        <x:v>8.0</x:v>
      </x:c>
      <x:c r="J116" s="4">
        <x:v>8.0</x:v>
      </x:c>
      <x:c r="K116" s="4">
        <x:v>0.0</x:v>
      </x:c>
      <x:c r="L116" s="4">
        <x:v>23.0</x:v>
      </x:c>
      <x:c r="M116" s="4">
        <x:v>23.0</x:v>
      </x:c>
    </x:row>
    <x:row r="117" ht="15.75" customHeight="1">
      <x:c r="A117" s="4">
        <x:v>5678.0</x:v>
      </x:c>
      <x:c r="B117" s="4" t="s">
        <x:v>98</x:v>
      </x:c>
      <x:c r="C117" s="4" t="s">
        <x:v>109</x:v>
      </x:c>
      <x:c r="D117" s="4" t="s">
        <x:v>160</x:v>
      </x:c>
      <x:c r="E117" s="4" t="s">
        <x:v>33</x:v>
      </x:c>
      <x:c r="F117" s="4">
        <x:v>7.0</x:v>
      </x:c>
      <x:c r="G117" s="4">
        <x:v>8.0</x:v>
      </x:c>
      <x:c r="H117" s="4">
        <x:v>-1.0</x:v>
      </x:c>
      <x:c r="I117" s="4">
        <x:v>7.0</x:v>
      </x:c>
      <x:c r="J117" s="4">
        <x:v>8.0</x:v>
      </x:c>
      <x:c r="K117" s="4">
        <x:v>-1.0</x:v>
      </x:c>
      <x:c r="L117" s="4">
        <x:v>15.0</x:v>
      </x:c>
      <x:c r="M117" s="4">
        <x:v>15.0</x:v>
      </x:c>
    </x:row>
    <x:row r="118" ht="15.75" customHeight="1">
      <x:c r="A118" s="4">
        <x:v>4210.0</x:v>
      </x:c>
      <x:c r="B118" s="4" t="s">
        <x:v>98</x:v>
      </x:c>
      <x:c r="C118" s="4" t="s">
        <x:v>103</x:v>
      </x:c>
      <x:c r="D118" s="4" t="s">
        <x:v>161</x:v>
      </x:c>
      <x:c r="E118" s="4" t="s">
        <x:v>39</x:v>
      </x:c>
      <x:c r="F118" s="4">
        <x:v>7.0</x:v>
      </x:c>
      <x:c r="G118" s="4">
        <x:v>7.0</x:v>
      </x:c>
      <x:c r="H118" s="4">
        <x:v>0.0</x:v>
      </x:c>
      <x:c r="I118" s="4">
        <x:v>7.0</x:v>
      </x:c>
      <x:c r="J118" s="4">
        <x:v>7.0</x:v>
      </x:c>
      <x:c r="K118" s="4">
        <x:v>0.0</x:v>
      </x:c>
      <x:c r="L118" s="4">
        <x:v>21.0</x:v>
      </x:c>
      <x:c r="M118" s="4">
        <x:v>21.0</x:v>
      </x:c>
    </x:row>
    <x:row r="119" ht="15.75" customHeight="1">
      <x:c r="A119" s="4">
        <x:v>4994.0</x:v>
      </x:c>
      <x:c r="B119" s="4" t="s">
        <x:v>98</x:v>
      </x:c>
      <x:c r="C119" s="4" t="s">
        <x:v>109</x:v>
      </x:c>
      <x:c r="D119" s="4" t="s">
        <x:v>162</x:v>
      </x:c>
      <x:c r="E119" s="4" t="s">
        <x:v>35</x:v>
      </x:c>
      <x:c r="F119" s="4">
        <x:v>7.0</x:v>
      </x:c>
      <x:c r="G119" s="4">
        <x:v>6.0</x:v>
      </x:c>
      <x:c r="H119" s="4">
        <x:v>1.0</x:v>
      </x:c>
      <x:c r="I119" s="4">
        <x:v>7.0</x:v>
      </x:c>
      <x:c r="J119" s="4">
        <x:v>6.0</x:v>
      </x:c>
      <x:c r="K119" s="4">
        <x:v>1.0</x:v>
      </x:c>
      <x:c r="L119" s="4">
        <x:v>13.0</x:v>
      </x:c>
      <x:c r="M119" s="4">
        <x:v>13.0</x:v>
      </x:c>
    </x:row>
    <x:row r="120" ht="15.75" customHeight="1">
      <x:c r="A120" s="4">
        <x:v>5739.0</x:v>
      </x:c>
      <x:c r="B120" s="4" t="s">
        <x:v>98</x:v>
      </x:c>
      <x:c r="C120" s="4" t="s">
        <x:v>133</x:v>
      </x:c>
      <x:c r="D120" s="4" t="s">
        <x:v>163</x:v>
      </x:c>
      <x:c r="E120" s="4" t="s">
        <x:v>21</x:v>
      </x:c>
      <x:c r="F120" s="4">
        <x:v>7.0</x:v>
      </x:c>
      <x:c r="G120" s="4">
        <x:v>8.0</x:v>
      </x:c>
      <x:c r="H120" s="4">
        <x:v>-1.0</x:v>
      </x:c>
      <x:c r="I120" s="4">
        <x:v>8.0</x:v>
      </x:c>
      <x:c r="J120" s="4">
        <x:v>9.0</x:v>
      </x:c>
      <x:c r="K120" s="4">
        <x:v>-1.0</x:v>
      </x:c>
      <x:c r="L120" s="4">
        <x:v>17.0</x:v>
      </x:c>
      <x:c r="M120" s="4">
        <x:v>19.0</x:v>
      </x:c>
    </x:row>
    <x:row r="121" ht="15.75" customHeight="1">
      <x:c r="A121" s="4">
        <x:v>6766.0</x:v>
      </x:c>
      <x:c r="B121" s="4" t="s">
        <x:v>98</x:v>
      </x:c>
      <x:c r="C121" s="4" t="s">
        <x:v>124</x:v>
      </x:c>
      <x:c r="D121" s="4" t="s">
        <x:v>164</x:v>
      </x:c>
      <x:c r="E121" s="4" t="s">
        <x:v>17</x:v>
      </x:c>
      <x:c r="F121" s="4">
        <x:v>7.0</x:v>
      </x:c>
      <x:c r="G121" s="4">
        <x:v>7.0</x:v>
      </x:c>
      <x:c r="H121" s="4">
        <x:v>0.0</x:v>
      </x:c>
      <x:c r="I121" s="4">
        <x:v>8.0</x:v>
      </x:c>
      <x:c r="J121" s="4">
        <x:v>8.0</x:v>
      </x:c>
      <x:c r="K121" s="4">
        <x:v>0.0</x:v>
      </x:c>
      <x:c r="L121" s="4">
        <x:v>14.0</x:v>
      </x:c>
      <x:c r="M121" s="4">
        <x:v>17.0</x:v>
      </x:c>
    </x:row>
    <x:row r="122" ht="15.75" customHeight="1">
      <x:c r="A122" s="4">
        <x:v>460.0</x:v>
      </x:c>
      <x:c r="B122" s="4" t="s">
        <x:v>98</x:v>
      </x:c>
      <x:c r="C122" s="4" t="s">
        <x:v>103</x:v>
      </x:c>
      <x:c r="D122" s="4" t="s">
        <x:v>165</x:v>
      </x:c>
      <x:c r="E122" s="4" t="s">
        <x:v>31</x:v>
      </x:c>
      <x:c r="F122" s="4">
        <x:v>7.0</x:v>
      </x:c>
      <x:c r="G122" s="4">
        <x:v>8.0</x:v>
      </x:c>
      <x:c r="H122" s="4">
        <x:v>-1.0</x:v>
      </x:c>
      <x:c r="I122" s="4">
        <x:v>7.0</x:v>
      </x:c>
      <x:c r="J122" s="4">
        <x:v>8.0</x:v>
      </x:c>
      <x:c r="K122" s="4">
        <x:v>-1.0</x:v>
      </x:c>
      <x:c r="L122" s="4">
        <x:v>22.0</x:v>
      </x:c>
      <x:c r="M122" s="4">
        <x:v>22.0</x:v>
      </x:c>
    </x:row>
    <x:row r="123" ht="15.75" customHeight="1">
      <x:c r="A123" s="4">
        <x:v>4401.0</x:v>
      </x:c>
      <x:c r="B123" s="4" t="s">
        <x:v>98</x:v>
      </x:c>
      <x:c r="C123" s="4" t="s">
        <x:v>103</x:v>
      </x:c>
      <x:c r="D123" s="4" t="s">
        <x:v>166</x:v>
      </x:c>
      <x:c r="E123" s="4" t="s">
        <x:v>21</x:v>
      </x:c>
      <x:c r="F123" s="4">
        <x:v>7.0</x:v>
      </x:c>
      <x:c r="G123" s="4">
        <x:v>6.0</x:v>
      </x:c>
      <x:c r="H123" s="4">
        <x:v>1.0</x:v>
      </x:c>
      <x:c r="I123" s="4">
        <x:v>7.0</x:v>
      </x:c>
      <x:c r="J123" s="4">
        <x:v>6.0</x:v>
      </x:c>
      <x:c r="K123" s="4">
        <x:v>1.0</x:v>
      </x:c>
      <x:c r="L123" s="4">
        <x:v>16.0</x:v>
      </x:c>
      <x:c r="M123" s="4">
        <x:v>16.0</x:v>
      </x:c>
    </x:row>
    <x:row r="124" ht="15.75" customHeight="1">
      <x:c r="A124" s="4">
        <x:v>1852.0</x:v>
      </x:c>
      <x:c r="B124" s="4" t="s">
        <x:v>98</x:v>
      </x:c>
      <x:c r="C124" s="4" t="s">
        <x:v>116</x:v>
      </x:c>
      <x:c r="D124" s="4" t="s">
        <x:v>167</x:v>
      </x:c>
      <x:c r="E124" s="4" t="s">
        <x:v>23</x:v>
      </x:c>
      <x:c r="F124" s="4">
        <x:v>7.0</x:v>
      </x:c>
      <x:c r="G124" s="4">
        <x:v>7.0</x:v>
      </x:c>
      <x:c r="H124" s="4">
        <x:v>0.0</x:v>
      </x:c>
      <x:c r="I124" s="4">
        <x:v>7.0</x:v>
      </x:c>
      <x:c r="J124" s="4">
        <x:v>7.0</x:v>
      </x:c>
      <x:c r="K124" s="4">
        <x:v>0.0</x:v>
      </x:c>
      <x:c r="L124" s="4">
        <x:v>10.0</x:v>
      </x:c>
      <x:c r="M124" s="4">
        <x:v>18.0</x:v>
      </x:c>
    </x:row>
    <x:row r="125" ht="15.75" customHeight="1">
      <x:c r="A125" s="4">
        <x:v>5010.0</x:v>
      </x:c>
      <x:c r="B125" s="4" t="s">
        <x:v>98</x:v>
      </x:c>
      <x:c r="C125" s="4" t="s">
        <x:v>103</x:v>
      </x:c>
      <x:c r="D125" s="4" t="s">
        <x:v>168</x:v>
      </x:c>
      <x:c r="E125" s="4" t="s">
        <x:v>41</x:v>
      </x:c>
      <x:c r="F125" s="4">
        <x:v>7.0</x:v>
      </x:c>
      <x:c r="G125" s="4">
        <x:v>8.0</x:v>
      </x:c>
      <x:c r="H125" s="4">
        <x:v>-1.0</x:v>
      </x:c>
      <x:c r="I125" s="4">
        <x:v>7.0</x:v>
      </x:c>
      <x:c r="J125" s="4">
        <x:v>8.0</x:v>
      </x:c>
      <x:c r="K125" s="4">
        <x:v>-1.0</x:v>
      </x:c>
      <x:c r="L125" s="4">
        <x:v>13.0</x:v>
      </x:c>
      <x:c r="M125" s="4">
        <x:v>13.0</x:v>
      </x:c>
    </x:row>
    <x:row r="126" ht="15.75" customHeight="1">
      <x:c r="A126" s="4">
        <x:v>4665.0</x:v>
      </x:c>
      <x:c r="B126" s="4" t="s">
        <x:v>98</x:v>
      </x:c>
      <x:c r="C126" s="4" t="s">
        <x:v>103</x:v>
      </x:c>
      <x:c r="D126" s="4" t="s">
        <x:v>169</x:v>
      </x:c>
      <x:c r="E126" s="4" t="s">
        <x:v>41</x:v>
      </x:c>
      <x:c r="F126" s="4">
        <x:v>7.0</x:v>
      </x:c>
      <x:c r="G126" s="4">
        <x:v>7.0</x:v>
      </x:c>
      <x:c r="H126" s="4">
        <x:v>0.0</x:v>
      </x:c>
      <x:c r="I126" s="4">
        <x:v>7.0</x:v>
      </x:c>
      <x:c r="J126" s="4">
        <x:v>7.0</x:v>
      </x:c>
      <x:c r="K126" s="4">
        <x:v>0.0</x:v>
      </x:c>
      <x:c r="L126" s="4">
        <x:v>13.0</x:v>
      </x:c>
      <x:c r="M126" s="4">
        <x:v>13.0</x:v>
      </x:c>
    </x:row>
    <x:row r="127" ht="15.75" customHeight="1">
      <x:c r="A127" s="4">
        <x:v>6485.0</x:v>
      </x:c>
      <x:c r="B127" s="4" t="s">
        <x:v>98</x:v>
      </x:c>
      <x:c r="C127" s="4" t="s">
        <x:v>133</x:v>
      </x:c>
      <x:c r="D127" s="4" t="s">
        <x:v>170</x:v>
      </x:c>
      <x:c r="E127" s="4" t="s">
        <x:v>51</x:v>
      </x:c>
      <x:c r="F127" s="4">
        <x:v>7.0</x:v>
      </x:c>
      <x:c r="G127" s="4">
        <x:v>5.0</x:v>
      </x:c>
      <x:c r="H127" s="4">
        <x:v>2.0</x:v>
      </x:c>
      <x:c r="I127" s="4">
        <x:v>7.0</x:v>
      </x:c>
      <x:c r="J127" s="4">
        <x:v>5.0</x:v>
      </x:c>
      <x:c r="K127" s="4">
        <x:v>2.0</x:v>
      </x:c>
      <x:c r="L127" s="4">
        <x:v>12.0</x:v>
      </x:c>
      <x:c r="M127" s="4">
        <x:v>13.0</x:v>
      </x:c>
    </x:row>
    <x:row r="128" ht="15.75" customHeight="1">
      <x:c r="A128" s="4">
        <x:v>5555.0</x:v>
      </x:c>
      <x:c r="B128" s="4" t="s">
        <x:v>98</x:v>
      </x:c>
      <x:c r="C128" s="4" t="s">
        <x:v>116</x:v>
      </x:c>
      <x:c r="D128" s="4" t="s">
        <x:v>171</x:v>
      </x:c>
      <x:c r="E128" s="4" t="s">
        <x:v>51</x:v>
      </x:c>
      <x:c r="F128" s="4">
        <x:v>7.0</x:v>
      </x:c>
      <x:c r="G128" s="4">
        <x:v>7.0</x:v>
      </x:c>
      <x:c r="H128" s="4">
        <x:v>0.0</x:v>
      </x:c>
      <x:c r="I128" s="4">
        <x:v>7.0</x:v>
      </x:c>
      <x:c r="J128" s="4">
        <x:v>7.0</x:v>
      </x:c>
      <x:c r="K128" s="4">
        <x:v>0.0</x:v>
      </x:c>
      <x:c r="L128" s="4">
        <x:v>19.0</x:v>
      </x:c>
      <x:c r="M128" s="4">
        <x:v>19.0</x:v>
      </x:c>
    </x:row>
    <x:row r="129" ht="15.75" customHeight="1">
      <x:c r="A129" s="4">
        <x:v>697.0</x:v>
      </x:c>
      <x:c r="B129" s="4" t="s">
        <x:v>98</x:v>
      </x:c>
      <x:c r="C129" s="4" t="s">
        <x:v>99</x:v>
      </x:c>
      <x:c r="D129" s="4" t="s">
        <x:v>172</x:v>
      </x:c>
      <x:c r="E129" s="4" t="s">
        <x:v>55</x:v>
      </x:c>
      <x:c r="F129" s="4">
        <x:v>7.0</x:v>
      </x:c>
      <x:c r="G129" s="4">
        <x:v>7.0</x:v>
      </x:c>
      <x:c r="H129" s="4">
        <x:v>0.0</x:v>
      </x:c>
      <x:c r="I129" s="4">
        <x:v>6.0</x:v>
      </x:c>
      <x:c r="J129" s="4">
        <x:v>6.0</x:v>
      </x:c>
      <x:c r="K129" s="4">
        <x:v>0.0</x:v>
      </x:c>
      <x:c r="L129" s="4">
        <x:v>13.0</x:v>
      </x:c>
      <x:c r="M129" s="4">
        <x:v>12.0</x:v>
      </x:c>
    </x:row>
    <x:row r="130" ht="15.75" customHeight="1">
      <x:c r="A130" s="4">
        <x:v>6672.0</x:v>
      </x:c>
      <x:c r="B130" s="4" t="s">
        <x:v>98</x:v>
      </x:c>
      <x:c r="C130" s="4" t="s">
        <x:v>103</x:v>
      </x:c>
      <x:c r="D130" s="4" t="s">
        <x:v>173</x:v>
      </x:c>
      <x:c r="E130" s="4" t="s">
        <x:v>49</x:v>
      </x:c>
      <x:c r="F130" s="4">
        <x:v>7.0</x:v>
      </x:c>
      <x:c r="G130" s="4">
        <x:v>7.0</x:v>
      </x:c>
      <x:c r="H130" s="4">
        <x:v>0.0</x:v>
      </x:c>
      <x:c r="I130" s="4">
        <x:v>7.0</x:v>
      </x:c>
      <x:c r="J130" s="4">
        <x:v>7.0</x:v>
      </x:c>
      <x:c r="K130" s="4">
        <x:v>0.0</x:v>
      </x:c>
      <x:c r="L130" s="4">
        <x:v>17.0</x:v>
      </x:c>
      <x:c r="M130" s="4">
        <x:v>17.0</x:v>
      </x:c>
    </x:row>
    <x:row r="131" ht="15.75" customHeight="1">
      <x:c r="A131" s="4">
        <x:v>5427.0</x:v>
      </x:c>
      <x:c r="B131" s="4" t="s">
        <x:v>98</x:v>
      </x:c>
      <x:c r="C131" s="4" t="s">
        <x:v>116</x:v>
      </x:c>
      <x:c r="D131" s="4" t="s">
        <x:v>174</x:v>
      </x:c>
      <x:c r="E131" s="4" t="s">
        <x:v>23</x:v>
      </x:c>
      <x:c r="F131" s="4">
        <x:v>7.0</x:v>
      </x:c>
      <x:c r="G131" s="4">
        <x:v>8.0</x:v>
      </x:c>
      <x:c r="H131" s="4">
        <x:v>-1.0</x:v>
      </x:c>
      <x:c r="I131" s="4">
        <x:v>7.0</x:v>
      </x:c>
      <x:c r="J131" s="4">
        <x:v>8.0</x:v>
      </x:c>
      <x:c r="K131" s="4">
        <x:v>-1.0</x:v>
      </x:c>
      <x:c r="L131" s="4">
        <x:v>18.0</x:v>
      </x:c>
      <x:c r="M131" s="4">
        <x:v>18.0</x:v>
      </x:c>
    </x:row>
    <x:row r="132" ht="15.75" customHeight="1">
      <x:c r="A132" s="4">
        <x:v>2640.0</x:v>
      </x:c>
      <x:c r="B132" s="4" t="s">
        <x:v>98</x:v>
      </x:c>
      <x:c r="C132" s="4" t="s">
        <x:v>127</x:v>
      </x:c>
      <x:c r="D132" s="4" t="s">
        <x:v>175</x:v>
      </x:c>
      <x:c r="E132" s="4" t="s">
        <x:v>27</x:v>
      </x:c>
      <x:c r="F132" s="4">
        <x:v>6.0</x:v>
      </x:c>
      <x:c r="G132" s="4">
        <x:v>7.0</x:v>
      </x:c>
      <x:c r="H132" s="4">
        <x:v>-1.0</x:v>
      </x:c>
      <x:c r="I132" s="4">
        <x:v>6.0</x:v>
      </x:c>
      <x:c r="J132" s="4">
        <x:v>7.0</x:v>
      </x:c>
      <x:c r="K132" s="4">
        <x:v>-1.0</x:v>
      </x:c>
      <x:c r="L132" s="4">
        <x:v>15.0</x:v>
      </x:c>
      <x:c r="M132" s="4">
        <x:v>18.0</x:v>
      </x:c>
    </x:row>
    <x:row r="133" ht="15.75" customHeight="1">
      <x:c r="A133" s="4">
        <x:v>6916.0</x:v>
      </x:c>
      <x:c r="B133" s="4" t="s">
        <x:v>98</x:v>
      </x:c>
      <x:c r="C133" s="4" t="s">
        <x:v>127</x:v>
      </x:c>
      <x:c r="D133" s="4" t="s">
        <x:v>176</x:v>
      </x:c>
      <x:c r="E133" s="4" t="s">
        <x:v>27</x:v>
      </x:c>
      <x:c r="F133" s="4">
        <x:v>6.0</x:v>
      </x:c>
      <x:c r="G133" s="4">
        <x:v>6.0</x:v>
      </x:c>
      <x:c r="H133" s="4">
        <x:v>0.0</x:v>
      </x:c>
      <x:c r="I133" s="4">
        <x:v>6.0</x:v>
      </x:c>
      <x:c r="J133" s="4">
        <x:v>7.0</x:v>
      </x:c>
      <x:c r="K133" s="4">
        <x:v>-1.0</x:v>
      </x:c>
      <x:c r="L133" s="4">
        <x:v>9.0</x:v>
      </x:c>
      <x:c r="M133" s="4">
        <x:v>12.0</x:v>
      </x:c>
    </x:row>
    <x:row r="134" ht="15.75" customHeight="1">
      <x:c r="A134" s="4">
        <x:v>4461.0</x:v>
      </x:c>
      <x:c r="B134" s="4" t="s">
        <x:v>98</x:v>
      </x:c>
      <x:c r="C134" s="4" t="s">
        <x:v>139</x:v>
      </x:c>
      <x:c r="D134" s="4" t="s">
        <x:v>177</x:v>
      </x:c>
      <x:c r="E134" s="4" t="s">
        <x:v>39</x:v>
      </x:c>
      <x:c r="F134" s="4">
        <x:v>6.0</x:v>
      </x:c>
      <x:c r="G134" s="4">
        <x:v>6.0</x:v>
      </x:c>
      <x:c r="H134" s="4">
        <x:v>0.0</x:v>
      </x:c>
      <x:c r="I134" s="4">
        <x:v>7.0</x:v>
      </x:c>
      <x:c r="J134" s="4">
        <x:v>7.0</x:v>
      </x:c>
      <x:c r="K134" s="4">
        <x:v>0.0</x:v>
      </x:c>
      <x:c r="L134" s="4">
        <x:v>13.0</x:v>
      </x:c>
      <x:c r="M134" s="4">
        <x:v>16.0</x:v>
      </x:c>
    </x:row>
    <x:row r="135" ht="15.75" customHeight="1">
      <x:c r="A135" s="4">
        <x:v>6893.0</x:v>
      </x:c>
      <x:c r="B135" s="4" t="s">
        <x:v>98</x:v>
      </x:c>
      <x:c r="C135" s="4" t="s">
        <x:v>103</x:v>
      </x:c>
      <x:c r="D135" s="4" t="s">
        <x:v>178</x:v>
      </x:c>
      <x:c r="E135" s="4" t="s">
        <x:v>35</x:v>
      </x:c>
      <x:c r="F135" s="4">
        <x:v>6.0</x:v>
      </x:c>
      <x:c r="G135" s="4">
        <x:v>5.0</x:v>
      </x:c>
      <x:c r="H135" s="4">
        <x:v>1.0</x:v>
      </x:c>
      <x:c r="I135" s="4">
        <x:v>6.0</x:v>
      </x:c>
      <x:c r="J135" s="4">
        <x:v>5.0</x:v>
      </x:c>
      <x:c r="K135" s="4">
        <x:v>1.0</x:v>
      </x:c>
      <x:c r="L135" s="4">
        <x:v>15.0</x:v>
      </x:c>
      <x:c r="M135" s="4">
        <x:v>15.0</x:v>
      </x:c>
    </x:row>
    <x:row r="136" ht="15.75" customHeight="1">
      <x:c r="A136" s="4">
        <x:v>6867.0</x:v>
      </x:c>
      <x:c r="B136" s="4" t="s">
        <x:v>98</x:v>
      </x:c>
      <x:c r="C136" s="4" t="s">
        <x:v>116</x:v>
      </x:c>
      <x:c r="D136" s="4" t="s">
        <x:v>179</x:v>
      </x:c>
      <x:c r="E136" s="4" t="s">
        <x:v>35</x:v>
      </x:c>
      <x:c r="F136" s="4">
        <x:v>6.0</x:v>
      </x:c>
      <x:c r="G136" s="4">
        <x:v>6.0</x:v>
      </x:c>
      <x:c r="H136" s="4">
        <x:v>0.0</x:v>
      </x:c>
      <x:c r="I136" s="4">
        <x:v>6.0</x:v>
      </x:c>
      <x:c r="J136" s="4">
        <x:v>6.0</x:v>
      </x:c>
      <x:c r="K136" s="4">
        <x:v>0.0</x:v>
      </x:c>
      <x:c r="L136" s="4">
        <x:v>13.0</x:v>
      </x:c>
      <x:c r="M136" s="4">
        <x:v>13.0</x:v>
      </x:c>
    </x:row>
    <x:row r="137" ht="15.75" customHeight="1">
      <x:c r="A137" s="4">
        <x:v>770.0</x:v>
      </x:c>
      <x:c r="B137" s="4" t="s">
        <x:v>98</x:v>
      </x:c>
      <x:c r="C137" s="4" t="s">
        <x:v>116</x:v>
      </x:c>
      <x:c r="D137" s="4" t="s">
        <x:v>180</x:v>
      </x:c>
      <x:c r="E137" s="4" t="s">
        <x:v>47</x:v>
      </x:c>
      <x:c r="F137" s="4">
        <x:v>6.0</x:v>
      </x:c>
      <x:c r="G137" s="4">
        <x:v>5.0</x:v>
      </x:c>
      <x:c r="H137" s="4">
        <x:v>1.0</x:v>
      </x:c>
      <x:c r="I137" s="4">
        <x:v>6.0</x:v>
      </x:c>
      <x:c r="J137" s="4">
        <x:v>5.0</x:v>
      </x:c>
      <x:c r="K137" s="4">
        <x:v>1.0</x:v>
      </x:c>
      <x:c r="L137" s="4">
        <x:v>13.0</x:v>
      </x:c>
      <x:c r="M137" s="4">
        <x:v>13.0</x:v>
      </x:c>
    </x:row>
    <x:row r="138" ht="15.75" customHeight="1">
      <x:c r="A138" s="4">
        <x:v>4904.0</x:v>
      </x:c>
      <x:c r="B138" s="4" t="s">
        <x:v>98</x:v>
      </x:c>
      <x:c r="C138" s="4" t="s">
        <x:v>103</x:v>
      </x:c>
      <x:c r="D138" s="4" t="s">
        <x:v>181</x:v>
      </x:c>
      <x:c r="E138" s="4" t="s">
        <x:v>29</x:v>
      </x:c>
      <x:c r="F138" s="4">
        <x:v>6.0</x:v>
      </x:c>
      <x:c r="G138" s="4">
        <x:v>7.0</x:v>
      </x:c>
      <x:c r="H138" s="4">
        <x:v>-1.0</x:v>
      </x:c>
      <x:c r="I138" s="4">
        <x:v>6.0</x:v>
      </x:c>
      <x:c r="J138" s="4">
        <x:v>7.0</x:v>
      </x:c>
      <x:c r="K138" s="4">
        <x:v>-1.0</x:v>
      </x:c>
      <x:c r="L138" s="4">
        <x:v>13.0</x:v>
      </x:c>
      <x:c r="M138" s="4">
        <x:v>13.0</x:v>
      </x:c>
    </x:row>
    <x:row r="139" ht="15.75" customHeight="1">
      <x:c r="A139" s="4">
        <x:v>4502.0</x:v>
      </x:c>
      <x:c r="B139" s="4" t="s">
        <x:v>98</x:v>
      </x:c>
      <x:c r="C139" s="4" t="s">
        <x:v>116</x:v>
      </x:c>
      <x:c r="D139" s="4" t="s">
        <x:v>182</x:v>
      </x:c>
      <x:c r="E139" s="4" t="s">
        <x:v>43</x:v>
      </x:c>
      <x:c r="F139" s="4">
        <x:v>6.0</x:v>
      </x:c>
      <x:c r="G139" s="4">
        <x:v>5.0</x:v>
      </x:c>
      <x:c r="H139" s="4">
        <x:v>1.0</x:v>
      </x:c>
      <x:c r="I139" s="4">
        <x:v>6.0</x:v>
      </x:c>
      <x:c r="J139" s="4">
        <x:v>5.0</x:v>
      </x:c>
      <x:c r="K139" s="4">
        <x:v>1.0</x:v>
      </x:c>
      <x:c r="L139" s="4">
        <x:v>15.0</x:v>
      </x:c>
      <x:c r="M139" s="4">
        <x:v>15.0</x:v>
      </x:c>
    </x:row>
    <x:row r="140" ht="15.75" customHeight="1">
      <x:c r="A140" s="4">
        <x:v>7143.0</x:v>
      </x:c>
      <x:c r="B140" s="4" t="s">
        <x:v>98</x:v>
      </x:c>
      <x:c r="C140" s="4" t="s">
        <x:v>116</x:v>
      </x:c>
      <x:c r="D140" s="4" t="s">
        <x:v>183</x:v>
      </x:c>
      <x:c r="E140" s="4" t="s">
        <x:v>55</x:v>
      </x:c>
      <x:c r="F140" s="4">
        <x:v>6.0</x:v>
      </x:c>
      <x:c r="G140" s="4">
        <x:v>5.0</x:v>
      </x:c>
      <x:c r="H140" s="4">
        <x:v>1.0</x:v>
      </x:c>
      <x:c r="I140" s="4">
        <x:v>6.0</x:v>
      </x:c>
      <x:c r="J140" s="4">
        <x:v>5.0</x:v>
      </x:c>
      <x:c r="K140" s="4">
        <x:v>1.0</x:v>
      </x:c>
      <x:c r="L140" s="4">
        <x:v>17.0</x:v>
      </x:c>
      <x:c r="M140" s="4">
        <x:v>17.0</x:v>
      </x:c>
    </x:row>
    <x:row r="141" ht="15.75" customHeight="1">
      <x:c r="A141" s="4">
        <x:v>4657.0</x:v>
      </x:c>
      <x:c r="B141" s="4" t="s">
        <x:v>98</x:v>
      </x:c>
      <x:c r="C141" s="4" t="s">
        <x:v>139</x:v>
      </x:c>
      <x:c r="D141" s="4" t="s">
        <x:v>184</x:v>
      </x:c>
      <x:c r="E141" s="4" t="s">
        <x:v>25</x:v>
      </x:c>
      <x:c r="F141" s="4">
        <x:v>6.0</x:v>
      </x:c>
      <x:c r="G141" s="4">
        <x:v>7.0</x:v>
      </x:c>
      <x:c r="H141" s="4">
        <x:v>-1.0</x:v>
      </x:c>
      <x:c r="I141" s="4">
        <x:v>7.0</x:v>
      </x:c>
      <x:c r="J141" s="4">
        <x:v>8.0</x:v>
      </x:c>
      <x:c r="K141" s="4">
        <x:v>-1.0</x:v>
      </x:c>
      <x:c r="L141" s="4">
        <x:v>13.0</x:v>
      </x:c>
      <x:c r="M141" s="4">
        <x:v>16.0</x:v>
      </x:c>
    </x:row>
    <x:row r="142" ht="15.75" customHeight="1">
      <x:c r="A142" s="4">
        <x:v>5851.0</x:v>
      </x:c>
      <x:c r="B142" s="4" t="s">
        <x:v>98</x:v>
      </x:c>
      <x:c r="C142" s="4" t="s">
        <x:v>116</x:v>
      </x:c>
      <x:c r="D142" s="4" t="s">
        <x:v>185</x:v>
      </x:c>
      <x:c r="E142" s="4" t="s">
        <x:v>49</x:v>
      </x:c>
      <x:c r="F142" s="4">
        <x:v>6.0</x:v>
      </x:c>
      <x:c r="G142" s="4">
        <x:v>6.0</x:v>
      </x:c>
      <x:c r="H142" s="4">
        <x:v>0.0</x:v>
      </x:c>
      <x:c r="I142" s="4">
        <x:v>6.0</x:v>
      </x:c>
      <x:c r="J142" s="4">
        <x:v>6.0</x:v>
      </x:c>
      <x:c r="K142" s="4">
        <x:v>0.0</x:v>
      </x:c>
      <x:c r="L142" s="4">
        <x:v>17.0</x:v>
      </x:c>
      <x:c r="M142" s="4">
        <x:v>17.0</x:v>
      </x:c>
    </x:row>
    <x:row r="143" ht="15.75" customHeight="1">
      <x:c r="A143" s="4">
        <x:v>4385.0</x:v>
      </x:c>
      <x:c r="B143" s="4" t="s">
        <x:v>98</x:v>
      </x:c>
      <x:c r="C143" s="4" t="s">
        <x:v>109</x:v>
      </x:c>
      <x:c r="D143" s="4" t="s">
        <x:v>186</x:v>
      </x:c>
      <x:c r="E143" s="4" t="s">
        <x:v>41</x:v>
      </x:c>
      <x:c r="F143" s="4">
        <x:v>6.0</x:v>
      </x:c>
      <x:c r="G143" s="4">
        <x:v>7.0</x:v>
      </x:c>
      <x:c r="H143" s="4">
        <x:v>-1.0</x:v>
      </x:c>
      <x:c r="I143" s="4">
        <x:v>6.0</x:v>
      </x:c>
      <x:c r="J143" s="4">
        <x:v>7.0</x:v>
      </x:c>
      <x:c r="K143" s="4">
        <x:v>-1.0</x:v>
      </x:c>
      <x:c r="L143" s="4">
        <x:v>19.0</x:v>
      </x:c>
      <x:c r="M143" s="4">
        <x:v>19.0</x:v>
      </x:c>
    </x:row>
    <x:row r="144" ht="15.75" customHeight="1">
      <x:c r="A144" s="4">
        <x:v>5820.0</x:v>
      </x:c>
      <x:c r="B144" s="4" t="s">
        <x:v>98</x:v>
      </x:c>
      <x:c r="C144" s="4" t="s">
        <x:v>103</x:v>
      </x:c>
      <x:c r="D144" s="4" t="s">
        <x:v>187</x:v>
      </x:c>
      <x:c r="E144" s="4" t="s">
        <x:v>51</x:v>
      </x:c>
      <x:c r="F144" s="4">
        <x:v>6.0</x:v>
      </x:c>
      <x:c r="G144" s="4">
        <x:v>6.0</x:v>
      </x:c>
      <x:c r="H144" s="4">
        <x:v>0.0</x:v>
      </x:c>
      <x:c r="I144" s="4">
        <x:v>6.0</x:v>
      </x:c>
      <x:c r="J144" s="4">
        <x:v>6.0</x:v>
      </x:c>
      <x:c r="K144" s="4">
        <x:v>0.0</x:v>
      </x:c>
      <x:c r="L144" s="4">
        <x:v>11.0</x:v>
      </x:c>
      <x:c r="M144" s="4">
        <x:v>11.0</x:v>
      </x:c>
    </x:row>
    <x:row r="145" ht="15.75" customHeight="1">
      <x:c r="A145" s="4">
        <x:v>6985.0</x:v>
      </x:c>
      <x:c r="B145" s="4" t="s">
        <x:v>98</x:v>
      </x:c>
      <x:c r="C145" s="4" t="s">
        <x:v>124</x:v>
      </x:c>
      <x:c r="D145" s="4" t="s">
        <x:v>188</x:v>
      </x:c>
      <x:c r="E145" s="4" t="s">
        <x:v>49</x:v>
      </x:c>
      <x:c r="F145" s="4">
        <x:v>6.0</x:v>
      </x:c>
      <x:c r="G145" s="4">
        <x:v>6.0</x:v>
      </x:c>
      <x:c r="H145" s="4">
        <x:v>0.0</x:v>
      </x:c>
      <x:c r="I145" s="4">
        <x:v>6.0</x:v>
      </x:c>
      <x:c r="J145" s="4">
        <x:v>6.0</x:v>
      </x:c>
      <x:c r="K145" s="4">
        <x:v>0.0</x:v>
      </x:c>
      <x:c r="L145" s="4">
        <x:v>14.0</x:v>
      </x:c>
      <x:c r="M145" s="4">
        <x:v>14.0</x:v>
      </x:c>
    </x:row>
    <x:row r="146" ht="15.75" customHeight="1">
      <x:c r="A146" s="4">
        <x:v>7211.0</x:v>
      </x:c>
      <x:c r="B146" s="4" t="s">
        <x:v>98</x:v>
      </x:c>
      <x:c r="C146" s="4" t="s">
        <x:v>109</x:v>
      </x:c>
      <x:c r="D146" s="4" t="s">
        <x:v>189</x:v>
      </x:c>
      <x:c r="E146" s="4" t="s">
        <x:v>21</x:v>
      </x:c>
      <x:c r="F146" s="4">
        <x:v>6.0</x:v>
      </x:c>
      <x:c r="G146" s="4">
        <x:v>6.0</x:v>
      </x:c>
      <x:c r="H146" s="4">
        <x:v>0.0</x:v>
      </x:c>
      <x:c r="I146" s="4">
        <x:v>6.0</x:v>
      </x:c>
      <x:c r="J146" s="4">
        <x:v>6.0</x:v>
      </x:c>
      <x:c r="K146" s="4">
        <x:v>0.0</x:v>
      </x:c>
      <x:c r="L146" s="4">
        <x:v>14.0</x:v>
      </x:c>
      <x:c r="M146" s="4">
        <x:v>14.0</x:v>
      </x:c>
    </x:row>
    <x:row r="147" ht="15.75" customHeight="1">
      <x:c r="A147" s="4">
        <x:v>7235.0</x:v>
      </x:c>
      <x:c r="B147" s="4" t="s">
        <x:v>98</x:v>
      </x:c>
      <x:c r="C147" s="4" t="s">
        <x:v>103</x:v>
      </x:c>
      <x:c r="D147" s="4" t="s">
        <x:v>190</x:v>
      </x:c>
      <x:c r="E147" s="4" t="s">
        <x:v>45</x:v>
      </x:c>
      <x:c r="F147" s="4">
        <x:v>6.0</x:v>
      </x:c>
      <x:c r="G147" s="4">
        <x:v>6.0</x:v>
      </x:c>
      <x:c r="H147" s="4">
        <x:v>0.0</x:v>
      </x:c>
      <x:c r="I147" s="4">
        <x:v>6.0</x:v>
      </x:c>
      <x:c r="J147" s="4">
        <x:v>6.0</x:v>
      </x:c>
      <x:c r="K147" s="4">
        <x:v>0.0</x:v>
      </x:c>
      <x:c r="L147" s="4">
        <x:v>13.0</x:v>
      </x:c>
      <x:c r="M147" s="4">
        <x:v>13.0</x:v>
      </x:c>
    </x:row>
    <x:row r="148" ht="15.75" customHeight="1">
      <x:c r="A148" s="4">
        <x:v>7253.0</x:v>
      </x:c>
      <x:c r="B148" s="4" t="s">
        <x:v>98</x:v>
      </x:c>
      <x:c r="C148" s="4" t="s">
        <x:v>103</x:v>
      </x:c>
      <x:c r="D148" s="4" t="s">
        <x:v>191</x:v>
      </x:c>
      <x:c r="E148" s="4" t="s">
        <x:v>57</x:v>
      </x:c>
      <x:c r="F148" s="4">
        <x:v>6.0</x:v>
      </x:c>
      <x:c r="G148" s="4">
        <x:v>6.0</x:v>
      </x:c>
      <x:c r="H148" s="4">
        <x:v>0.0</x:v>
      </x:c>
      <x:c r="I148" s="4">
        <x:v>6.0</x:v>
      </x:c>
      <x:c r="J148" s="4">
        <x:v>6.0</x:v>
      </x:c>
      <x:c r="K148" s="4">
        <x:v>0.0</x:v>
      </x:c>
      <x:c r="L148" s="4">
        <x:v>14.0</x:v>
      </x:c>
      <x:c r="M148" s="4">
        <x:v>14.0</x:v>
      </x:c>
    </x:row>
    <x:row r="149" ht="15.75" customHeight="1">
      <x:c r="A149" s="4">
        <x:v>2653.0</x:v>
      </x:c>
      <x:c r="B149" s="4" t="s">
        <x:v>98</x:v>
      </x:c>
      <x:c r="C149" s="4" t="s">
        <x:v>116</x:v>
      </x:c>
      <x:c r="D149" s="4" t="s">
        <x:v>192</x:v>
      </x:c>
      <x:c r="E149" s="4" t="s">
        <x:v>33</x:v>
      </x:c>
      <x:c r="F149" s="4">
        <x:v>5.0</x:v>
      </x:c>
      <x:c r="G149" s="4">
        <x:v>5.0</x:v>
      </x:c>
      <x:c r="H149" s="4">
        <x:v>0.0</x:v>
      </x:c>
      <x:c r="I149" s="4">
        <x:v>5.0</x:v>
      </x:c>
      <x:c r="J149" s="4">
        <x:v>5.0</x:v>
      </x:c>
      <x:c r="K149" s="4">
        <x:v>0.0</x:v>
      </x:c>
      <x:c r="L149" s="4">
        <x:v>12.0</x:v>
      </x:c>
      <x:c r="M149" s="4">
        <x:v>12.0</x:v>
      </x:c>
    </x:row>
    <x:row r="150" ht="15.75" customHeight="1">
      <x:c r="A150" s="4">
        <x:v>7131.0</x:v>
      </x:c>
      <x:c r="B150" s="4" t="s">
        <x:v>98</x:v>
      </x:c>
      <x:c r="C150" s="4" t="s">
        <x:v>109</x:v>
      </x:c>
      <x:c r="D150" s="4" t="s">
        <x:v>193</x:v>
      </x:c>
      <x:c r="E150" s="4" t="s">
        <x:v>47</x:v>
      </x:c>
      <x:c r="F150" s="4">
        <x:v>5.0</x:v>
      </x:c>
      <x:c r="G150" s="4">
        <x:v>5.0</x:v>
      </x:c>
      <x:c r="H150" s="4">
        <x:v>0.0</x:v>
      </x:c>
      <x:c r="I150" s="4">
        <x:v>5.0</x:v>
      </x:c>
      <x:c r="J150" s="4">
        <x:v>5.0</x:v>
      </x:c>
      <x:c r="K150" s="4">
        <x:v>0.0</x:v>
      </x:c>
      <x:c r="L150" s="4">
        <x:v>9.0</x:v>
      </x:c>
      <x:c r="M150" s="4">
        <x:v>9.0</x:v>
      </x:c>
    </x:row>
    <x:row r="151" ht="15.75" customHeight="1">
      <x:c r="A151" s="4">
        <x:v>5603.0</x:v>
      </x:c>
      <x:c r="B151" s="4" t="s">
        <x:v>98</x:v>
      </x:c>
      <x:c r="C151" s="4" t="s">
        <x:v>103</x:v>
      </x:c>
      <x:c r="D151" s="4" t="s">
        <x:v>194</x:v>
      </x:c>
      <x:c r="E151" s="4" t="s">
        <x:v>29</x:v>
      </x:c>
      <x:c r="F151" s="4">
        <x:v>5.0</x:v>
      </x:c>
      <x:c r="G151" s="4">
        <x:v>5.0</x:v>
      </x:c>
      <x:c r="H151" s="4">
        <x:v>0.0</x:v>
      </x:c>
      <x:c r="I151" s="4">
        <x:v>5.0</x:v>
      </x:c>
      <x:c r="J151" s="4">
        <x:v>5.0</x:v>
      </x:c>
      <x:c r="K151" s="4">
        <x:v>0.0</x:v>
      </x:c>
      <x:c r="L151" s="4">
        <x:v>16.0</x:v>
      </x:c>
      <x:c r="M151" s="4">
        <x:v>16.0</x:v>
      </x:c>
    </x:row>
    <x:row r="152" ht="15.75" customHeight="1">
      <x:c r="A152" s="4">
        <x:v>5449.0</x:v>
      </x:c>
      <x:c r="B152" s="4" t="s">
        <x:v>98</x:v>
      </x:c>
      <x:c r="C152" s="4" t="s">
        <x:v>99</x:v>
      </x:c>
      <x:c r="D152" s="4" t="s">
        <x:v>195</x:v>
      </x:c>
      <x:c r="E152" s="4" t="s">
        <x:v>29</x:v>
      </x:c>
      <x:c r="F152" s="4">
        <x:v>5.0</x:v>
      </x:c>
      <x:c r="G152" s="4">
        <x:v>5.0</x:v>
      </x:c>
      <x:c r="H152" s="4">
        <x:v>0.0</x:v>
      </x:c>
      <x:c r="I152" s="4">
        <x:v>4.0</x:v>
      </x:c>
      <x:c r="J152" s="4">
        <x:v>4.0</x:v>
      </x:c>
      <x:c r="K152" s="4">
        <x:v>0.0</x:v>
      </x:c>
      <x:c r="L152" s="4">
        <x:v>11.0</x:v>
      </x:c>
      <x:c r="M152" s="4">
        <x:v>10.0</x:v>
      </x:c>
    </x:row>
    <x:row r="153" ht="15.75" customHeight="1">
      <x:c r="A153" s="4">
        <x:v>5812.0</x:v>
      </x:c>
      <x:c r="B153" s="4" t="s">
        <x:v>98</x:v>
      </x:c>
      <x:c r="C153" s="4" t="s">
        <x:v>154</x:v>
      </x:c>
      <x:c r="D153" s="4" t="s">
        <x:v>196</x:v>
      </x:c>
      <x:c r="E153" s="4" t="s">
        <x:v>47</x:v>
      </x:c>
      <x:c r="F153" s="4">
        <x:v>5.0</x:v>
      </x:c>
      <x:c r="G153" s="4">
        <x:v>2.0</x:v>
      </x:c>
      <x:c r="H153" s="4">
        <x:v>3.0</x:v>
      </x:c>
      <x:c r="I153" s="4">
        <x:v>5.0</x:v>
      </x:c>
      <x:c r="J153" s="4">
        <x:v>2.0</x:v>
      </x:c>
      <x:c r="K153" s="4">
        <x:v>3.0</x:v>
      </x:c>
      <x:c r="L153" s="4">
        <x:v>13.0</x:v>
      </x:c>
      <x:c r="M153" s="4">
        <x:v>13.0</x:v>
      </x:c>
    </x:row>
    <x:row r="154" ht="15.75" customHeight="1">
      <x:c r="A154" s="4">
        <x:v>6663.0</x:v>
      </x:c>
      <x:c r="B154" s="4" t="s">
        <x:v>98</x:v>
      </x:c>
      <x:c r="C154" s="4" t="s">
        <x:v>103</x:v>
      </x:c>
      <x:c r="D154" s="4" t="s">
        <x:v>197</x:v>
      </x:c>
      <x:c r="E154" s="4" t="s">
        <x:v>45</x:v>
      </x:c>
      <x:c r="F154" s="4">
        <x:v>5.0</x:v>
      </x:c>
      <x:c r="G154" s="4">
        <x:v>5.0</x:v>
      </x:c>
      <x:c r="H154" s="4">
        <x:v>0.0</x:v>
      </x:c>
      <x:c r="I154" s="4">
        <x:v>5.0</x:v>
      </x:c>
      <x:c r="J154" s="4">
        <x:v>5.0</x:v>
      </x:c>
      <x:c r="K154" s="4">
        <x:v>0.0</x:v>
      </x:c>
      <x:c r="L154" s="4">
        <x:v>13.0</x:v>
      </x:c>
      <x:c r="M154" s="4">
        <x:v>13.0</x:v>
      </x:c>
    </x:row>
    <x:row r="155" ht="15.75" customHeight="1">
      <x:c r="A155" s="4">
        <x:v>2273.0</x:v>
      </x:c>
      <x:c r="B155" s="4" t="s">
        <x:v>98</x:v>
      </x:c>
      <x:c r="C155" s="4" t="s">
        <x:v>103</x:v>
      </x:c>
      <x:c r="D155" s="4" t="s">
        <x:v>198</x:v>
      </x:c>
      <x:c r="E155" s="4" t="s">
        <x:v>55</x:v>
      </x:c>
      <x:c r="F155" s="4">
        <x:v>5.0</x:v>
      </x:c>
      <x:c r="G155" s="4">
        <x:v>4.0</x:v>
      </x:c>
      <x:c r="H155" s="4">
        <x:v>1.0</x:v>
      </x:c>
      <x:c r="I155" s="4">
        <x:v>5.0</x:v>
      </x:c>
      <x:c r="J155" s="4">
        <x:v>4.0</x:v>
      </x:c>
      <x:c r="K155" s="4">
        <x:v>1.0</x:v>
      </x:c>
      <x:c r="L155" s="4">
        <x:v>12.0</x:v>
      </x:c>
      <x:c r="M155" s="4">
        <x:v>12.0</x:v>
      </x:c>
    </x:row>
    <x:row r="156" ht="15.75" customHeight="1">
      <x:c r="A156" s="4">
        <x:v>7155.0</x:v>
      </x:c>
      <x:c r="B156" s="4" t="s">
        <x:v>98</x:v>
      </x:c>
      <x:c r="C156" s="4" t="s">
        <x:v>103</x:v>
      </x:c>
      <x:c r="D156" s="4" t="s">
        <x:v>199</x:v>
      </x:c>
      <x:c r="E156" s="4" t="s">
        <x:v>49</x:v>
      </x:c>
      <x:c r="F156" s="4">
        <x:v>5.0</x:v>
      </x:c>
      <x:c r="G156" s="4">
        <x:v>5.0</x:v>
      </x:c>
      <x:c r="H156" s="4">
        <x:v>0.0</x:v>
      </x:c>
      <x:c r="I156" s="4">
        <x:v>5.0</x:v>
      </x:c>
      <x:c r="J156" s="4">
        <x:v>5.0</x:v>
      </x:c>
      <x:c r="K156" s="4">
        <x:v>0.0</x:v>
      </x:c>
      <x:c r="L156" s="4">
        <x:v>12.0</x:v>
      </x:c>
      <x:c r="M156" s="4">
        <x:v>12.0</x:v>
      </x:c>
    </x:row>
    <x:row r="157" ht="15.75" customHeight="1">
      <x:c r="A157" s="4">
        <x:v>4374.0</x:v>
      </x:c>
      <x:c r="B157" s="4" t="s">
        <x:v>98</x:v>
      </x:c>
      <x:c r="C157" s="4" t="s">
        <x:v>133</x:v>
      </x:c>
      <x:c r="D157" s="4" t="s">
        <x:v>200</x:v>
      </x:c>
      <x:c r="E157" s="4" t="s">
        <x:v>49</x:v>
      </x:c>
      <x:c r="F157" s="4">
        <x:v>5.0</x:v>
      </x:c>
      <x:c r="G157" s="4">
        <x:v>5.0</x:v>
      </x:c>
      <x:c r="H157" s="4">
        <x:v>0.0</x:v>
      </x:c>
      <x:c r="I157" s="4">
        <x:v>6.0</x:v>
      </x:c>
      <x:c r="J157" s="4">
        <x:v>6.0</x:v>
      </x:c>
      <x:c r="K157" s="4">
        <x:v>0.0</x:v>
      </x:c>
      <x:c r="L157" s="4">
        <x:v>11.0</x:v>
      </x:c>
      <x:c r="M157" s="4">
        <x:v>12.0</x:v>
      </x:c>
    </x:row>
    <x:row r="158" ht="15.75" customHeight="1">
      <x:c r="A158" s="4">
        <x:v>6047.0</x:v>
      </x:c>
      <x:c r="B158" s="4" t="s">
        <x:v>98</x:v>
      </x:c>
      <x:c r="C158" s="4" t="s">
        <x:v>109</x:v>
      </x:c>
      <x:c r="D158" s="4" t="s">
        <x:v>201</x:v>
      </x:c>
      <x:c r="E158" s="4" t="s">
        <x:v>51</x:v>
      </x:c>
      <x:c r="F158" s="4">
        <x:v>5.0</x:v>
      </x:c>
      <x:c r="G158" s="4">
        <x:v>5.0</x:v>
      </x:c>
      <x:c r="H158" s="4">
        <x:v>0.0</x:v>
      </x:c>
      <x:c r="I158" s="4">
        <x:v>5.0</x:v>
      </x:c>
      <x:c r="J158" s="4">
        <x:v>5.0</x:v>
      </x:c>
      <x:c r="K158" s="4">
        <x:v>0.0</x:v>
      </x:c>
      <x:c r="L158" s="4">
        <x:v>15.0</x:v>
      </x:c>
      <x:c r="M158" s="4">
        <x:v>15.0</x:v>
      </x:c>
    </x:row>
    <x:row r="159" ht="15.75" customHeight="1">
      <x:c r="A159" s="4">
        <x:v>6894.0</x:v>
      </x:c>
      <x:c r="B159" s="4" t="s">
        <x:v>98</x:v>
      </x:c>
      <x:c r="C159" s="4" t="s">
        <x:v>103</x:v>
      </x:c>
      <x:c r="D159" s="4" t="s">
        <x:v>202</x:v>
      </x:c>
      <x:c r="E159" s="4" t="s">
        <x:v>57</x:v>
      </x:c>
      <x:c r="F159" s="4">
        <x:v>5.0</x:v>
      </x:c>
      <x:c r="G159" s="4">
        <x:v>5.0</x:v>
      </x:c>
      <x:c r="H159" s="4">
        <x:v>0.0</x:v>
      </x:c>
      <x:c r="I159" s="4">
        <x:v>5.0</x:v>
      </x:c>
      <x:c r="J159" s="4">
        <x:v>5.0</x:v>
      </x:c>
      <x:c r="K159" s="4">
        <x:v>0.0</x:v>
      </x:c>
      <x:c r="L159" s="4">
        <x:v>10.0</x:v>
      </x:c>
      <x:c r="M159" s="4">
        <x:v>10.0</x:v>
      </x:c>
    </x:row>
    <x:row r="160" ht="15.75" customHeight="1">
      <x:c r="A160" s="4">
        <x:v>5750.0</x:v>
      </x:c>
      <x:c r="B160" s="4" t="s">
        <x:v>98</x:v>
      </x:c>
      <x:c r="C160" s="4" t="s">
        <x:v>103</x:v>
      </x:c>
      <x:c r="D160" s="4" t="s">
        <x:v>203</x:v>
      </x:c>
      <x:c r="E160" s="4" t="s">
        <x:v>37</x:v>
      </x:c>
      <x:c r="F160" s="4">
        <x:v>5.0</x:v>
      </x:c>
      <x:c r="G160" s="4">
        <x:v>5.0</x:v>
      </x:c>
      <x:c r="H160" s="4">
        <x:v>0.0</x:v>
      </x:c>
      <x:c r="I160" s="4">
        <x:v>5.0</x:v>
      </x:c>
      <x:c r="J160" s="4">
        <x:v>5.0</x:v>
      </x:c>
      <x:c r="K160" s="4">
        <x:v>0.0</x:v>
      </x:c>
      <x:c r="L160" s="4">
        <x:v>13.0</x:v>
      </x:c>
      <x:c r="M160" s="4">
        <x:v>13.0</x:v>
      </x:c>
    </x:row>
    <x:row r="161" ht="15.75" customHeight="1">
      <x:c r="A161" s="4">
        <x:v>6869.0</x:v>
      </x:c>
      <x:c r="B161" s="4" t="s">
        <x:v>98</x:v>
      </x:c>
      <x:c r="C161" s="4" t="s">
        <x:v>103</x:v>
      </x:c>
      <x:c r="D161" s="4" t="s">
        <x:v>204</x:v>
      </x:c>
      <x:c r="E161" s="4" t="s">
        <x:v>35</x:v>
      </x:c>
      <x:c r="F161" s="4">
        <x:v>5.0</x:v>
      </x:c>
      <x:c r="G161" s="4">
        <x:v>4.0</x:v>
      </x:c>
      <x:c r="H161" s="4">
        <x:v>1.0</x:v>
      </x:c>
      <x:c r="I161" s="4">
        <x:v>5.0</x:v>
      </x:c>
      <x:c r="J161" s="4">
        <x:v>4.0</x:v>
      </x:c>
      <x:c r="K161" s="4">
        <x:v>1.0</x:v>
      </x:c>
      <x:c r="L161" s="4">
        <x:v>13.0</x:v>
      </x:c>
      <x:c r="M161" s="4">
        <x:v>13.0</x:v>
      </x:c>
    </x:row>
    <x:row r="162" ht="15.75" customHeight="1">
      <x:c r="A162" s="4">
        <x:v>7212.0</x:v>
      </x:c>
      <x:c r="B162" s="4" t="s">
        <x:v>98</x:v>
      </x:c>
      <x:c r="C162" s="4" t="s">
        <x:v>124</x:v>
      </x:c>
      <x:c r="D162" s="4" t="s">
        <x:v>205</x:v>
      </x:c>
      <x:c r="E162" s="4" t="s">
        <x:v>33</x:v>
      </x:c>
      <x:c r="F162" s="4">
        <x:v>5.0</x:v>
      </x:c>
      <x:c r="G162" s="4">
        <x:v>4.0</x:v>
      </x:c>
      <x:c r="H162" s="4">
        <x:v>1.0</x:v>
      </x:c>
      <x:c r="I162" s="4">
        <x:v>6.0</x:v>
      </x:c>
      <x:c r="J162" s="4">
        <x:v>5.0</x:v>
      </x:c>
      <x:c r="K162" s="4">
        <x:v>1.0</x:v>
      </x:c>
      <x:c r="L162" s="4">
        <x:v>11.0</x:v>
      </x:c>
      <x:c r="M162" s="4">
        <x:v>13.0</x:v>
      </x:c>
    </x:row>
    <x:row r="163" ht="15.75" customHeight="1">
      <x:c r="A163" s="4">
        <x:v>4137.0</x:v>
      </x:c>
      <x:c r="B163" s="4" t="s">
        <x:v>98</x:v>
      </x:c>
      <x:c r="C163" s="4" t="s">
        <x:v>103</x:v>
      </x:c>
      <x:c r="D163" s="4" t="s">
        <x:v>206</x:v>
      </x:c>
      <x:c r="E163" s="4" t="s">
        <x:v>35</x:v>
      </x:c>
      <x:c r="F163" s="4">
        <x:v>5.0</x:v>
      </x:c>
      <x:c r="G163" s="4">
        <x:v>5.0</x:v>
      </x:c>
      <x:c r="H163" s="4">
        <x:v>0.0</x:v>
      </x:c>
      <x:c r="I163" s="4">
        <x:v>5.0</x:v>
      </x:c>
      <x:c r="J163" s="4">
        <x:v>5.0</x:v>
      </x:c>
      <x:c r="K163" s="4">
        <x:v>0.0</x:v>
      </x:c>
      <x:c r="L163" s="4">
        <x:v>10.0</x:v>
      </x:c>
      <x:c r="M163" s="4">
        <x:v>10.0</x:v>
      </x:c>
    </x:row>
    <x:row r="164" ht="15.75" customHeight="1">
      <x:c r="A164" s="4">
        <x:v>388.0</x:v>
      </x:c>
      <x:c r="B164" s="4" t="s">
        <x:v>98</x:v>
      </x:c>
      <x:c r="C164" s="4" t="s">
        <x:v>103</x:v>
      </x:c>
      <x:c r="D164" s="4" t="s">
        <x:v>207</x:v>
      </x:c>
      <x:c r="E164" s="4" t="s">
        <x:v>55</x:v>
      </x:c>
      <x:c r="F164" s="4">
        <x:v>5.0</x:v>
      </x:c>
      <x:c r="G164" s="4">
        <x:v>5.0</x:v>
      </x:c>
      <x:c r="H164" s="4">
        <x:v>0.0</x:v>
      </x:c>
      <x:c r="I164" s="4">
        <x:v>5.0</x:v>
      </x:c>
      <x:c r="J164" s="4">
        <x:v>5.0</x:v>
      </x:c>
      <x:c r="K164" s="4">
        <x:v>0.0</x:v>
      </x:c>
      <x:c r="L164" s="4">
        <x:v>10.0</x:v>
      </x:c>
      <x:c r="M164" s="4">
        <x:v>10.0</x:v>
      </x:c>
    </x:row>
    <x:row r="165" ht="15.75" customHeight="1">
      <x:c r="A165" s="4">
        <x:v>6832.0</x:v>
      </x:c>
      <x:c r="B165" s="4" t="s">
        <x:v>98</x:v>
      </x:c>
      <x:c r="C165" s="4" t="s">
        <x:v>99</x:v>
      </x:c>
      <x:c r="D165" s="4" t="s">
        <x:v>208</x:v>
      </x:c>
      <x:c r="E165" s="4" t="s">
        <x:v>39</x:v>
      </x:c>
      <x:c r="F165" s="4">
        <x:v>4.0</x:v>
      </x:c>
      <x:c r="G165" s="4">
        <x:v>3.0</x:v>
      </x:c>
      <x:c r="H165" s="4">
        <x:v>1.0</x:v>
      </x:c>
      <x:c r="I165" s="4">
        <x:v>3.0</x:v>
      </x:c>
      <x:c r="J165" s="4">
        <x:v>2.0</x:v>
      </x:c>
      <x:c r="K165" s="4">
        <x:v>1.0</x:v>
      </x:c>
      <x:c r="L165" s="4">
        <x:v>8.0</x:v>
      </x:c>
      <x:c r="M165" s="4">
        <x:v>7.0</x:v>
      </x:c>
    </x:row>
    <x:row r="166" ht="15.75" customHeight="1">
      <x:c r="A166" s="4">
        <x:v>5498.0</x:v>
      </x:c>
      <x:c r="B166" s="4" t="s">
        <x:v>98</x:v>
      </x:c>
      <x:c r="C166" s="4" t="s">
        <x:v>103</x:v>
      </x:c>
      <x:c r="D166" s="4" t="s">
        <x:v>209</x:v>
      </x:c>
      <x:c r="E166" s="4" t="s">
        <x:v>33</x:v>
      </x:c>
      <x:c r="F166" s="4">
        <x:v>4.0</x:v>
      </x:c>
      <x:c r="G166" s="4">
        <x:v>4.0</x:v>
      </x:c>
      <x:c r="H166" s="4">
        <x:v>0.0</x:v>
      </x:c>
      <x:c r="I166" s="4">
        <x:v>4.0</x:v>
      </x:c>
      <x:c r="J166" s="4">
        <x:v>4.0</x:v>
      </x:c>
      <x:c r="K166" s="4">
        <x:v>0.0</x:v>
      </x:c>
      <x:c r="L166" s="4">
        <x:v>8.0</x:v>
      </x:c>
      <x:c r="M166" s="4">
        <x:v>8.0</x:v>
      </x:c>
    </x:row>
    <x:row r="167" ht="15.75" customHeight="1">
      <x:c r="A167" s="4">
        <x:v>6066.0</x:v>
      </x:c>
      <x:c r="B167" s="4" t="s">
        <x:v>98</x:v>
      </x:c>
      <x:c r="C167" s="4" t="s">
        <x:v>133</x:v>
      </x:c>
      <x:c r="D167" s="4" t="s">
        <x:v>210</x:v>
      </x:c>
      <x:c r="E167" s="4" t="s">
        <x:v>35</x:v>
      </x:c>
      <x:c r="F167" s="4">
        <x:v>4.0</x:v>
      </x:c>
      <x:c r="G167" s="4">
        <x:v>5.0</x:v>
      </x:c>
      <x:c r="H167" s="4">
        <x:v>-1.0</x:v>
      </x:c>
      <x:c r="I167" s="4">
        <x:v>6.0</x:v>
      </x:c>
      <x:c r="J167" s="4">
        <x:v>6.0</x:v>
      </x:c>
      <x:c r="K167" s="4">
        <x:v>0.0</x:v>
      </x:c>
      <x:c r="L167" s="4">
        <x:v>10.0</x:v>
      </x:c>
      <x:c r="M167" s="4">
        <x:v>12.0</x:v>
      </x:c>
    </x:row>
    <x:row r="168" ht="15.75" customHeight="1">
      <x:c r="A168" s="4">
        <x:v>487.0</x:v>
      </x:c>
      <x:c r="B168" s="4" t="s">
        <x:v>98</x:v>
      </x:c>
      <x:c r="C168" s="4" t="s">
        <x:v>109</x:v>
      </x:c>
      <x:c r="D168" s="4" t="s">
        <x:v>211</x:v>
      </x:c>
      <x:c r="E168" s="4" t="s">
        <x:v>33</x:v>
      </x:c>
      <x:c r="F168" s="4">
        <x:v>4.0</x:v>
      </x:c>
      <x:c r="G168" s="4">
        <x:v>4.0</x:v>
      </x:c>
      <x:c r="H168" s="4">
        <x:v>0.0</x:v>
      </x:c>
      <x:c r="I168" s="4">
        <x:v>4.0</x:v>
      </x:c>
      <x:c r="J168" s="4">
        <x:v>4.0</x:v>
      </x:c>
      <x:c r="K168" s="4">
        <x:v>0.0</x:v>
      </x:c>
      <x:c r="L168" s="4">
        <x:v>10.0</x:v>
      </x:c>
      <x:c r="M168" s="4">
        <x:v>10.0</x:v>
      </x:c>
    </x:row>
    <x:row r="169" ht="15.75" customHeight="1">
      <x:c r="A169" s="4">
        <x:v>5701.0</x:v>
      </x:c>
      <x:c r="B169" s="4" t="s">
        <x:v>98</x:v>
      </x:c>
      <x:c r="C169" s="4" t="s">
        <x:v>124</x:v>
      </x:c>
      <x:c r="D169" s="4" t="s">
        <x:v>212</x:v>
      </x:c>
      <x:c r="E169" s="4" t="s">
        <x:v>39</x:v>
      </x:c>
      <x:c r="F169" s="4">
        <x:v>4.0</x:v>
      </x:c>
      <x:c r="G169" s="4">
        <x:v>4.0</x:v>
      </x:c>
      <x:c r="H169" s="4">
        <x:v>0.0</x:v>
      </x:c>
      <x:c r="I169" s="4">
        <x:v>4.0</x:v>
      </x:c>
      <x:c r="J169" s="4">
        <x:v>4.0</x:v>
      </x:c>
      <x:c r="K169" s="4">
        <x:v>0.0</x:v>
      </x:c>
      <x:c r="L169" s="4">
        <x:v>10.0</x:v>
      </x:c>
      <x:c r="M169" s="4">
        <x:v>11.0</x:v>
      </x:c>
    </x:row>
    <x:row r="170" ht="15.75" customHeight="1">
      <x:c r="A170" s="4">
        <x:v>6230.0</x:v>
      </x:c>
      <x:c r="B170" s="4" t="s">
        <x:v>98</x:v>
      </x:c>
      <x:c r="C170" s="4" t="s">
        <x:v>103</x:v>
      </x:c>
      <x:c r="D170" s="4" t="s">
        <x:v>213</x:v>
      </x:c>
      <x:c r="E170" s="4" t="s">
        <x:v>35</x:v>
      </x:c>
      <x:c r="F170" s="4">
        <x:v>4.0</x:v>
      </x:c>
      <x:c r="G170" s="4">
        <x:v>4.0</x:v>
      </x:c>
      <x:c r="H170" s="4">
        <x:v>0.0</x:v>
      </x:c>
      <x:c r="I170" s="4">
        <x:v>4.0</x:v>
      </x:c>
      <x:c r="J170" s="4">
        <x:v>4.0</x:v>
      </x:c>
      <x:c r="K170" s="4">
        <x:v>0.0</x:v>
      </x:c>
      <x:c r="L170" s="4">
        <x:v>11.0</x:v>
      </x:c>
      <x:c r="M170" s="4">
        <x:v>11.0</x:v>
      </x:c>
    </x:row>
    <x:row r="171" ht="15.75" customHeight="1">
      <x:c r="A171" s="4">
        <x:v>418.0</x:v>
      </x:c>
      <x:c r="B171" s="4" t="s">
        <x:v>98</x:v>
      </x:c>
      <x:c r="C171" s="4" t="s">
        <x:v>103</x:v>
      </x:c>
      <x:c r="D171" s="4" t="s">
        <x:v>214</x:v>
      </x:c>
      <x:c r="E171" s="4" t="s">
        <x:v>35</x:v>
      </x:c>
      <x:c r="F171" s="4">
        <x:v>4.0</x:v>
      </x:c>
      <x:c r="G171" s="4">
        <x:v>4.0</x:v>
      </x:c>
      <x:c r="H171" s="4">
        <x:v>0.0</x:v>
      </x:c>
      <x:c r="I171" s="4">
        <x:v>4.0</x:v>
      </x:c>
      <x:c r="J171" s="4">
        <x:v>4.0</x:v>
      </x:c>
      <x:c r="K171" s="4">
        <x:v>0.0</x:v>
      </x:c>
      <x:c r="L171" s="4">
        <x:v>6.0</x:v>
      </x:c>
      <x:c r="M171" s="4">
        <x:v>6.0</x:v>
      </x:c>
    </x:row>
    <x:row r="172" ht="15.75" customHeight="1">
      <x:c r="A172" s="4">
        <x:v>6896.0</x:v>
      </x:c>
      <x:c r="B172" s="4" t="s">
        <x:v>98</x:v>
      </x:c>
      <x:c r="C172" s="4" t="s">
        <x:v>109</x:v>
      </x:c>
      <x:c r="D172" s="4" t="s">
        <x:v>215</x:v>
      </x:c>
      <x:c r="E172" s="4" t="s">
        <x:v>35</x:v>
      </x:c>
      <x:c r="F172" s="4">
        <x:v>4.0</x:v>
      </x:c>
      <x:c r="G172" s="4">
        <x:v>4.0</x:v>
      </x:c>
      <x:c r="H172" s="4">
        <x:v>0.0</x:v>
      </x:c>
      <x:c r="I172" s="4">
        <x:v>4.0</x:v>
      </x:c>
      <x:c r="J172" s="4">
        <x:v>4.0</x:v>
      </x:c>
      <x:c r="K172" s="4">
        <x:v>0.0</x:v>
      </x:c>
      <x:c r="L172" s="4">
        <x:v>8.0</x:v>
      </x:c>
      <x:c r="M172" s="4">
        <x:v>8.0</x:v>
      </x:c>
    </x:row>
    <x:row r="173" ht="15.75" customHeight="1">
      <x:c r="A173" s="4">
        <x:v>612.0</x:v>
      </x:c>
      <x:c r="B173" s="4" t="s">
        <x:v>98</x:v>
      </x:c>
      <x:c r="C173" s="4" t="s">
        <x:v>103</x:v>
      </x:c>
      <x:c r="D173" s="4" t="s">
        <x:v>216</x:v>
      </x:c>
      <x:c r="E173" s="4" t="s">
        <x:v>47</x:v>
      </x:c>
      <x:c r="F173" s="4">
        <x:v>4.0</x:v>
      </x:c>
      <x:c r="G173" s="4">
        <x:v>3.0</x:v>
      </x:c>
      <x:c r="H173" s="4">
        <x:v>1.0</x:v>
      </x:c>
      <x:c r="I173" s="4">
        <x:v>4.0</x:v>
      </x:c>
      <x:c r="J173" s="4">
        <x:v>3.0</x:v>
      </x:c>
      <x:c r="K173" s="4">
        <x:v>1.0</x:v>
      </x:c>
      <x:c r="L173" s="4">
        <x:v>4.0</x:v>
      </x:c>
      <x:c r="M173" s="4">
        <x:v>4.0</x:v>
      </x:c>
    </x:row>
    <x:row r="174" ht="15.75" customHeight="1">
      <x:c r="A174" s="4">
        <x:v>7130.0</x:v>
      </x:c>
      <x:c r="B174" s="4" t="s">
        <x:v>98</x:v>
      </x:c>
      <x:c r="C174" s="4" t="s">
        <x:v>103</x:v>
      </x:c>
      <x:c r="D174" s="4" t="s">
        <x:v>217</x:v>
      </x:c>
      <x:c r="E174" s="4" t="s">
        <x:v>47</x:v>
      </x:c>
      <x:c r="F174" s="4">
        <x:v>4.0</x:v>
      </x:c>
      <x:c r="G174" s="4">
        <x:v>4.0</x:v>
      </x:c>
      <x:c r="H174" s="4">
        <x:v>0.0</x:v>
      </x:c>
      <x:c r="I174" s="4">
        <x:v>4.0</x:v>
      </x:c>
      <x:c r="J174" s="4">
        <x:v>4.0</x:v>
      </x:c>
      <x:c r="K174" s="4">
        <x:v>0.0</x:v>
      </x:c>
      <x:c r="L174" s="4">
        <x:v>9.0</x:v>
      </x:c>
      <x:c r="M174" s="4">
        <x:v>9.0</x:v>
      </x:c>
    </x:row>
    <x:row r="175" ht="15.75" customHeight="1">
      <x:c r="A175" s="4">
        <x:v>1891.0</x:v>
      </x:c>
      <x:c r="B175" s="4" t="s">
        <x:v>98</x:v>
      </x:c>
      <x:c r="C175" s="4" t="s">
        <x:v>133</x:v>
      </x:c>
      <x:c r="D175" s="4" t="s">
        <x:v>218</x:v>
      </x:c>
      <x:c r="E175" s="4" t="s">
        <x:v>47</x:v>
      </x:c>
      <x:c r="F175" s="4">
        <x:v>4.0</x:v>
      </x:c>
      <x:c r="G175" s="4">
        <x:v>4.0</x:v>
      </x:c>
      <x:c r="H175" s="4">
        <x:v>0.0</x:v>
      </x:c>
      <x:c r="I175" s="4">
        <x:v>4.0</x:v>
      </x:c>
      <x:c r="J175" s="4">
        <x:v>4.0</x:v>
      </x:c>
      <x:c r="K175" s="4">
        <x:v>0.0</x:v>
      </x:c>
      <x:c r="L175" s="4">
        <x:v>11.0</x:v>
      </x:c>
      <x:c r="M175" s="4">
        <x:v>12.0</x:v>
      </x:c>
    </x:row>
    <x:row r="176" ht="15.75" customHeight="1">
      <x:c r="A176" s="4">
        <x:v>5718.0</x:v>
      </x:c>
      <x:c r="B176" s="4" t="s">
        <x:v>98</x:v>
      </x:c>
      <x:c r="C176" s="4" t="s">
        <x:v>103</x:v>
      </x:c>
      <x:c r="D176" s="4" t="s">
        <x:v>219</x:v>
      </x:c>
      <x:c r="E176" s="4" t="s">
        <x:v>29</x:v>
      </x:c>
      <x:c r="F176" s="4">
        <x:v>4.0</x:v>
      </x:c>
      <x:c r="G176" s="4">
        <x:v>4.0</x:v>
      </x:c>
      <x:c r="H176" s="4">
        <x:v>0.0</x:v>
      </x:c>
      <x:c r="I176" s="4">
        <x:v>4.0</x:v>
      </x:c>
      <x:c r="J176" s="4">
        <x:v>4.0</x:v>
      </x:c>
      <x:c r="K176" s="4">
        <x:v>0.0</x:v>
      </x:c>
      <x:c r="L176" s="4">
        <x:v>9.0</x:v>
      </x:c>
      <x:c r="M176" s="4">
        <x:v>9.0</x:v>
      </x:c>
    </x:row>
    <x:row r="177" ht="15.75" customHeight="1">
      <x:c r="A177" s="4">
        <x:v>6660.0</x:v>
      </x:c>
      <x:c r="B177" s="4" t="s">
        <x:v>98</x:v>
      </x:c>
      <x:c r="C177" s="4" t="s">
        <x:v>103</x:v>
      </x:c>
      <x:c r="D177" s="4" t="s">
        <x:v>220</x:v>
      </x:c>
      <x:c r="E177" s="4" t="s">
        <x:v>37</x:v>
      </x:c>
      <x:c r="F177" s="4">
        <x:v>4.0</x:v>
      </x:c>
      <x:c r="G177" s="4">
        <x:v>3.0</x:v>
      </x:c>
      <x:c r="H177" s="4">
        <x:v>1.0</x:v>
      </x:c>
      <x:c r="I177" s="4">
        <x:v>4.0</x:v>
      </x:c>
      <x:c r="J177" s="4">
        <x:v>3.0</x:v>
      </x:c>
      <x:c r="K177" s="4">
        <x:v>1.0</x:v>
      </x:c>
      <x:c r="L177" s="4">
        <x:v>2.0</x:v>
      </x:c>
      <x:c r="M177" s="4">
        <x:v>2.0</x:v>
      </x:c>
    </x:row>
    <x:row r="178" ht="15.75" customHeight="1">
      <x:c r="A178" s="4">
        <x:v>6814.0</x:v>
      </x:c>
      <x:c r="B178" s="4" t="s">
        <x:v>98</x:v>
      </x:c>
      <x:c r="C178" s="4" t="s">
        <x:v>109</x:v>
      </x:c>
      <x:c r="D178" s="4" t="s">
        <x:v>221</x:v>
      </x:c>
      <x:c r="E178" s="4" t="s">
        <x:v>37</x:v>
      </x:c>
      <x:c r="F178" s="4">
        <x:v>4.0</x:v>
      </x:c>
      <x:c r="G178" s="4">
        <x:v>3.0</x:v>
      </x:c>
      <x:c r="H178" s="4">
        <x:v>1.0</x:v>
      </x:c>
      <x:c r="I178" s="4">
        <x:v>4.0</x:v>
      </x:c>
      <x:c r="J178" s="4">
        <x:v>3.0</x:v>
      </x:c>
      <x:c r="K178" s="4">
        <x:v>1.0</x:v>
      </x:c>
      <x:c r="L178" s="4">
        <x:v>11.0</x:v>
      </x:c>
      <x:c r="M178" s="4">
        <x:v>11.0</x:v>
      </x:c>
    </x:row>
    <x:row r="179" ht="15.75" customHeight="1">
      <x:c r="A179" s="4">
        <x:v>791.0</x:v>
      </x:c>
      <x:c r="B179" s="4" t="s">
        <x:v>98</x:v>
      </x:c>
      <x:c r="C179" s="4" t="s">
        <x:v>154</x:v>
      </x:c>
      <x:c r="D179" s="4" t="s">
        <x:v>222</x:v>
      </x:c>
      <x:c r="E179" s="4" t="s">
        <x:v>37</x:v>
      </x:c>
      <x:c r="F179" s="4">
        <x:v>4.0</x:v>
      </x:c>
      <x:c r="G179" s="4">
        <x:v>5.0</x:v>
      </x:c>
      <x:c r="H179" s="4">
        <x:v>-1.0</x:v>
      </x:c>
      <x:c r="I179" s="4">
        <x:v>4.0</x:v>
      </x:c>
      <x:c r="J179" s="4">
        <x:v>5.0</x:v>
      </x:c>
      <x:c r="K179" s="4">
        <x:v>-1.0</x:v>
      </x:c>
      <x:c r="L179" s="4">
        <x:v>11.0</x:v>
      </x:c>
      <x:c r="M179" s="4">
        <x:v>13.0</x:v>
      </x:c>
    </x:row>
    <x:row r="180" ht="15.75" customHeight="1">
      <x:c r="A180" s="4">
        <x:v>2525.0</x:v>
      </x:c>
      <x:c r="B180" s="4" t="s">
        <x:v>98</x:v>
      </x:c>
      <x:c r="C180" s="4" t="s">
        <x:v>139</x:v>
      </x:c>
      <x:c r="D180" s="4" t="s">
        <x:v>223</x:v>
      </x:c>
      <x:c r="E180" s="4" t="s">
        <x:v>19</x:v>
      </x:c>
      <x:c r="F180" s="4">
        <x:v>4.0</x:v>
      </x:c>
      <x:c r="G180" s="4">
        <x:v>4.0</x:v>
      </x:c>
      <x:c r="H180" s="4">
        <x:v>0.0</x:v>
      </x:c>
      <x:c r="I180" s="4">
        <x:v>4.0</x:v>
      </x:c>
      <x:c r="J180" s="4">
        <x:v>5.0</x:v>
      </x:c>
      <x:c r="K180" s="4">
        <x:v>-1.0</x:v>
      </x:c>
      <x:c r="L180" s="4">
        <x:v>14.0</x:v>
      </x:c>
      <x:c r="M180" s="4">
        <x:v>16.0</x:v>
      </x:c>
    </x:row>
    <x:row r="181" ht="15.75" customHeight="1">
      <x:c r="A181" s="4">
        <x:v>6039.0</x:v>
      </x:c>
      <x:c r="B181" s="4" t="s">
        <x:v>98</x:v>
      </x:c>
      <x:c r="C181" s="4" t="s">
        <x:v>127</x:v>
      </x:c>
      <x:c r="D181" s="4" t="s">
        <x:v>224</x:v>
      </x:c>
      <x:c r="E181" s="4" t="s">
        <x:v>17</x:v>
      </x:c>
      <x:c r="F181" s="4">
        <x:v>4.0</x:v>
      </x:c>
      <x:c r="G181" s="4">
        <x:v>5.0</x:v>
      </x:c>
      <x:c r="H181" s="4">
        <x:v>-1.0</x:v>
      </x:c>
      <x:c r="I181" s="4">
        <x:v>4.0</x:v>
      </x:c>
      <x:c r="J181" s="4">
        <x:v>5.0</x:v>
      </x:c>
      <x:c r="K181" s="4">
        <x:v>-1.0</x:v>
      </x:c>
      <x:c r="L181" s="4">
        <x:v>10.0</x:v>
      </x:c>
      <x:c r="M181" s="4">
        <x:v>11.0</x:v>
      </x:c>
    </x:row>
    <x:row r="182" ht="15.75" customHeight="1">
      <x:c r="A182" s="4">
        <x:v>5899.0</x:v>
      </x:c>
      <x:c r="B182" s="4" t="s">
        <x:v>98</x:v>
      </x:c>
      <x:c r="C182" s="4" t="s">
        <x:v>103</x:v>
      </x:c>
      <x:c r="D182" s="4" t="s">
        <x:v>225</x:v>
      </x:c>
      <x:c r="E182" s="4" t="s">
        <x:v>31</x:v>
      </x:c>
      <x:c r="F182" s="4">
        <x:v>4.0</x:v>
      </x:c>
      <x:c r="G182" s="4">
        <x:v>4.0</x:v>
      </x:c>
      <x:c r="H182" s="4">
        <x:v>0.0</x:v>
      </x:c>
      <x:c r="I182" s="4">
        <x:v>4.0</x:v>
      </x:c>
      <x:c r="J182" s="4">
        <x:v>4.0</x:v>
      </x:c>
      <x:c r="K182" s="4">
        <x:v>0.0</x:v>
      </x:c>
      <x:c r="L182" s="4">
        <x:v>7.0</x:v>
      </x:c>
      <x:c r="M182" s="4">
        <x:v>7.0</x:v>
      </x:c>
    </x:row>
    <x:row r="183" ht="15.75" customHeight="1">
      <x:c r="A183" s="4">
        <x:v>7012.0</x:v>
      </x:c>
      <x:c r="B183" s="4" t="s">
        <x:v>98</x:v>
      </x:c>
      <x:c r="C183" s="4" t="s">
        <x:v>103</x:v>
      </x:c>
      <x:c r="D183" s="4" t="s">
        <x:v>226</x:v>
      </x:c>
      <x:c r="E183" s="4" t="s">
        <x:v>31</x:v>
      </x:c>
      <x:c r="F183" s="4">
        <x:v>4.0</x:v>
      </x:c>
      <x:c r="G183" s="4">
        <x:v>3.0</x:v>
      </x:c>
      <x:c r="H183" s="4">
        <x:v>1.0</x:v>
      </x:c>
      <x:c r="I183" s="4">
        <x:v>4.0</x:v>
      </x:c>
      <x:c r="J183" s="4">
        <x:v>3.0</x:v>
      </x:c>
      <x:c r="K183" s="4">
        <x:v>1.0</x:v>
      </x:c>
      <x:c r="L183" s="4">
        <x:v>5.0</x:v>
      </x:c>
      <x:c r="M183" s="4">
        <x:v>5.0</x:v>
      </x:c>
    </x:row>
    <x:row r="184" ht="15.75" customHeight="1">
      <x:c r="A184" s="4">
        <x:v>327.0</x:v>
      </x:c>
      <x:c r="B184" s="4" t="s">
        <x:v>98</x:v>
      </x:c>
      <x:c r="C184" s="4" t="s">
        <x:v>133</x:v>
      </x:c>
      <x:c r="D184" s="4" t="s">
        <x:v>227</x:v>
      </x:c>
      <x:c r="E184" s="4" t="s">
        <x:v>31</x:v>
      </x:c>
      <x:c r="F184" s="4">
        <x:v>4.0</x:v>
      </x:c>
      <x:c r="G184" s="4">
        <x:v>4.0</x:v>
      </x:c>
      <x:c r="H184" s="4">
        <x:v>0.0</x:v>
      </x:c>
      <x:c r="I184" s="4">
        <x:v>4.0</x:v>
      </x:c>
      <x:c r="J184" s="4">
        <x:v>4.0</x:v>
      </x:c>
      <x:c r="K184" s="4">
        <x:v>0.0</x:v>
      </x:c>
      <x:c r="L184" s="4">
        <x:v>7.0</x:v>
      </x:c>
      <x:c r="M184" s="4">
        <x:v>8.0</x:v>
      </x:c>
    </x:row>
    <x:row r="185" ht="15.75" customHeight="1">
      <x:c r="A185" s="4">
        <x:v>2263.0</x:v>
      </x:c>
      <x:c r="B185" s="4" t="s">
        <x:v>98</x:v>
      </x:c>
      <x:c r="C185" s="4" t="s">
        <x:v>109</x:v>
      </x:c>
      <x:c r="D185" s="4" t="s">
        <x:v>228</x:v>
      </x:c>
      <x:c r="E185" s="4" t="s">
        <x:v>31</x:v>
      </x:c>
      <x:c r="F185" s="4">
        <x:v>4.0</x:v>
      </x:c>
      <x:c r="G185" s="4">
        <x:v>4.0</x:v>
      </x:c>
      <x:c r="H185" s="4">
        <x:v>0.0</x:v>
      </x:c>
      <x:c r="I185" s="4">
        <x:v>4.0</x:v>
      </x:c>
      <x:c r="J185" s="4">
        <x:v>4.0</x:v>
      </x:c>
      <x:c r="K185" s="4">
        <x:v>0.0</x:v>
      </x:c>
      <x:c r="L185" s="4">
        <x:v>11.0</x:v>
      </x:c>
      <x:c r="M185" s="4">
        <x:v>11.0</x:v>
      </x:c>
    </x:row>
    <x:row r="186" ht="15.75" customHeight="1">
      <x:c r="A186" s="4">
        <x:v>2728.0</x:v>
      </x:c>
      <x:c r="B186" s="4" t="s">
        <x:v>98</x:v>
      </x:c>
      <x:c r="C186" s="4" t="s">
        <x:v>116</x:v>
      </x:c>
      <x:c r="D186" s="4" t="s">
        <x:v>229</x:v>
      </x:c>
      <x:c r="E186" s="4" t="s">
        <x:v>31</x:v>
      </x:c>
      <x:c r="F186" s="4">
        <x:v>4.0</x:v>
      </x:c>
      <x:c r="G186" s="4">
        <x:v>3.0</x:v>
      </x:c>
      <x:c r="H186" s="4">
        <x:v>1.0</x:v>
      </x:c>
      <x:c r="I186" s="4">
        <x:v>4.0</x:v>
      </x:c>
      <x:c r="J186" s="4">
        <x:v>3.0</x:v>
      </x:c>
      <x:c r="K186" s="4">
        <x:v>1.0</x:v>
      </x:c>
      <x:c r="L186" s="4">
        <x:v>8.0</x:v>
      </x:c>
      <x:c r="M186" s="4">
        <x:v>8.0</x:v>
      </x:c>
    </x:row>
    <x:row r="187" ht="15.75" customHeight="1">
      <x:c r="A187" s="4">
        <x:v>7136.0</x:v>
      </x:c>
      <x:c r="B187" s="4" t="s">
        <x:v>98</x:v>
      </x:c>
      <x:c r="C187" s="4" t="s">
        <x:v>133</x:v>
      </x:c>
      <x:c r="D187" s="4" t="s">
        <x:v>230</x:v>
      </x:c>
      <x:c r="E187" s="4" t="s">
        <x:v>43</x:v>
      </x:c>
      <x:c r="F187" s="4">
        <x:v>4.0</x:v>
      </x:c>
      <x:c r="G187" s="4">
        <x:v>4.0</x:v>
      </x:c>
      <x:c r="H187" s="4">
        <x:v>0.0</x:v>
      </x:c>
      <x:c r="I187" s="4">
        <x:v>5.0</x:v>
      </x:c>
      <x:c r="J187" s="4">
        <x:v>5.0</x:v>
      </x:c>
      <x:c r="K187" s="4">
        <x:v>0.0</x:v>
      </x:c>
      <x:c r="L187" s="4">
        <x:v>10.0</x:v>
      </x:c>
      <x:c r="M187" s="4">
        <x:v>12.0</x:v>
      </x:c>
    </x:row>
    <x:row r="188" ht="15.75" customHeight="1">
      <x:c r="A188" s="4">
        <x:v>256.0</x:v>
      </x:c>
      <x:c r="B188" s="4" t="s">
        <x:v>98</x:v>
      </x:c>
      <x:c r="C188" s="4" t="s">
        <x:v>124</x:v>
      </x:c>
      <x:c r="D188" s="4" t="s">
        <x:v>231</x:v>
      </x:c>
      <x:c r="E188" s="4" t="s">
        <x:v>23</x:v>
      </x:c>
      <x:c r="F188" s="4">
        <x:v>4.0</x:v>
      </x:c>
      <x:c r="G188" s="4">
        <x:v>3.0</x:v>
      </x:c>
      <x:c r="H188" s="4">
        <x:v>1.0</x:v>
      </x:c>
      <x:c r="I188" s="4">
        <x:v>4.0</x:v>
      </x:c>
      <x:c r="J188" s="4">
        <x:v>3.0</x:v>
      </x:c>
      <x:c r="K188" s="4">
        <x:v>1.0</x:v>
      </x:c>
      <x:c r="L188" s="4">
        <x:v>14.0</x:v>
      </x:c>
      <x:c r="M188" s="4">
        <x:v>17.0</x:v>
      </x:c>
    </x:row>
    <x:row r="189" ht="15.75" customHeight="1">
      <x:c r="A189" s="4">
        <x:v>5307.0</x:v>
      </x:c>
      <x:c r="B189" s="4" t="s">
        <x:v>98</x:v>
      </x:c>
      <x:c r="C189" s="4" t="s">
        <x:v>103</x:v>
      </x:c>
      <x:c r="D189" s="4" t="s">
        <x:v>232</x:v>
      </x:c>
      <x:c r="E189" s="4" t="s">
        <x:v>45</x:v>
      </x:c>
      <x:c r="F189" s="4">
        <x:v>4.0</x:v>
      </x:c>
      <x:c r="G189" s="4">
        <x:v>4.0</x:v>
      </x:c>
      <x:c r="H189" s="4">
        <x:v>0.0</x:v>
      </x:c>
      <x:c r="I189" s="4">
        <x:v>4.0</x:v>
      </x:c>
      <x:c r="J189" s="4">
        <x:v>4.0</x:v>
      </x:c>
      <x:c r="K189" s="4">
        <x:v>0.0</x:v>
      </x:c>
      <x:c r="L189" s="4">
        <x:v>11.0</x:v>
      </x:c>
      <x:c r="M189" s="4">
        <x:v>11.0</x:v>
      </x:c>
    </x:row>
    <x:row r="190" ht="15.75" customHeight="1">
      <x:c r="A190" s="4">
        <x:v>7139.0</x:v>
      </x:c>
      <x:c r="B190" s="4" t="s">
        <x:v>98</x:v>
      </x:c>
      <x:c r="C190" s="4" t="s">
        <x:v>103</x:v>
      </x:c>
      <x:c r="D190" s="4" t="s">
        <x:v>233</x:v>
      </x:c>
      <x:c r="E190" s="4" t="s">
        <x:v>55</x:v>
      </x:c>
      <x:c r="F190" s="4">
        <x:v>4.0</x:v>
      </x:c>
      <x:c r="G190" s="4">
        <x:v>3.0</x:v>
      </x:c>
      <x:c r="H190" s="4">
        <x:v>1.0</x:v>
      </x:c>
      <x:c r="I190" s="4">
        <x:v>4.0</x:v>
      </x:c>
      <x:c r="J190" s="4">
        <x:v>3.0</x:v>
      </x:c>
      <x:c r="K190" s="4">
        <x:v>1.0</x:v>
      </x:c>
      <x:c r="L190" s="4">
        <x:v>12.0</x:v>
      </x:c>
      <x:c r="M190" s="4">
        <x:v>12.0</x:v>
      </x:c>
    </x:row>
    <x:row r="191" ht="15.75" customHeight="1">
      <x:c r="A191" s="4">
        <x:v>6411.0</x:v>
      </x:c>
      <x:c r="B191" s="4" t="s">
        <x:v>98</x:v>
      </x:c>
      <x:c r="C191" s="4" t="s">
        <x:v>103</x:v>
      </x:c>
      <x:c r="D191" s="4" t="s">
        <x:v>234</x:v>
      </x:c>
      <x:c r="E191" s="4" t="s">
        <x:v>55</x:v>
      </x:c>
      <x:c r="F191" s="4">
        <x:v>4.0</x:v>
      </x:c>
      <x:c r="G191" s="4">
        <x:v>4.0</x:v>
      </x:c>
      <x:c r="H191" s="4">
        <x:v>0.0</x:v>
      </x:c>
      <x:c r="I191" s="4">
        <x:v>4.0</x:v>
      </x:c>
      <x:c r="J191" s="4">
        <x:v>4.0</x:v>
      </x:c>
      <x:c r="K191" s="4">
        <x:v>0.0</x:v>
      </x:c>
      <x:c r="L191" s="4">
        <x:v>7.0</x:v>
      </x:c>
      <x:c r="M191" s="4">
        <x:v>7.0</x:v>
      </x:c>
    </x:row>
    <x:row r="192" ht="15.75" customHeight="1">
      <x:c r="A192" s="4">
        <x:v>2745.0</x:v>
      </x:c>
      <x:c r="B192" s="4" t="s">
        <x:v>98</x:v>
      </x:c>
      <x:c r="C192" s="4" t="s">
        <x:v>139</x:v>
      </x:c>
      <x:c r="D192" s="4" t="s">
        <x:v>235</x:v>
      </x:c>
      <x:c r="E192" s="4" t="s">
        <x:v>55</x:v>
      </x:c>
      <x:c r="F192" s="4">
        <x:v>4.0</x:v>
      </x:c>
      <x:c r="G192" s="4">
        <x:v>3.0</x:v>
      </x:c>
      <x:c r="H192" s="4">
        <x:v>1.0</x:v>
      </x:c>
      <x:c r="I192" s="4">
        <x:v>5.0</x:v>
      </x:c>
      <x:c r="J192" s="4">
        <x:v>4.0</x:v>
      </x:c>
      <x:c r="K192" s="4">
        <x:v>1.0</x:v>
      </x:c>
      <x:c r="L192" s="4">
        <x:v>8.0</x:v>
      </x:c>
      <x:c r="M192" s="4">
        <x:v>9.0</x:v>
      </x:c>
    </x:row>
    <x:row r="193" ht="15.75" customHeight="1">
      <x:c r="A193" s="4">
        <x:v>4807.0</x:v>
      </x:c>
      <x:c r="B193" s="4" t="s">
        <x:v>98</x:v>
      </x:c>
      <x:c r="C193" s="4" t="s">
        <x:v>103</x:v>
      </x:c>
      <x:c r="D193" s="4" t="s">
        <x:v>236</x:v>
      </x:c>
      <x:c r="E193" s="4" t="s">
        <x:v>25</x:v>
      </x:c>
      <x:c r="F193" s="4">
        <x:v>4.0</x:v>
      </x:c>
      <x:c r="G193" s="4">
        <x:v>3.0</x:v>
      </x:c>
      <x:c r="H193" s="4">
        <x:v>1.0</x:v>
      </x:c>
      <x:c r="I193" s="4">
        <x:v>4.0</x:v>
      </x:c>
      <x:c r="J193" s="4">
        <x:v>3.0</x:v>
      </x:c>
      <x:c r="K193" s="4">
        <x:v>1.0</x:v>
      </x:c>
      <x:c r="L193" s="4">
        <x:v>15.0</x:v>
      </x:c>
      <x:c r="M193" s="4">
        <x:v>15.0</x:v>
      </x:c>
    </x:row>
    <x:row r="194" ht="15.75" customHeight="1">
      <x:c r="A194" s="4">
        <x:v>6986.0</x:v>
      </x:c>
      <x:c r="B194" s="4" t="s">
        <x:v>98</x:v>
      </x:c>
      <x:c r="C194" s="4" t="s">
        <x:v>139</x:v>
      </x:c>
      <x:c r="D194" s="4" t="s">
        <x:v>237</x:v>
      </x:c>
      <x:c r="E194" s="4" t="s">
        <x:v>25</x:v>
      </x:c>
      <x:c r="F194" s="4">
        <x:v>4.0</x:v>
      </x:c>
      <x:c r="G194" s="4">
        <x:v>5.0</x:v>
      </x:c>
      <x:c r="H194" s="4">
        <x:v>-1.0</x:v>
      </x:c>
      <x:c r="I194" s="4">
        <x:v>6.0</x:v>
      </x:c>
      <x:c r="J194" s="4">
        <x:v>6.0</x:v>
      </x:c>
      <x:c r="K194" s="4">
        <x:v>0.0</x:v>
      </x:c>
      <x:c r="L194" s="4">
        <x:v>13.0</x:v>
      </x:c>
      <x:c r="M194" s="4">
        <x:v>16.0</x:v>
      </x:c>
    </x:row>
    <x:row r="195" ht="15.75" customHeight="1">
      <x:c r="A195" s="4">
        <x:v>2279.0</x:v>
      </x:c>
      <x:c r="B195" s="4" t="s">
        <x:v>98</x:v>
      </x:c>
      <x:c r="C195" s="4" t="s">
        <x:v>103</x:v>
      </x:c>
      <x:c r="D195" s="4" t="s">
        <x:v>238</x:v>
      </x:c>
      <x:c r="E195" s="4" t="s">
        <x:v>49</x:v>
      </x:c>
      <x:c r="F195" s="4">
        <x:v>4.0</x:v>
      </x:c>
      <x:c r="G195" s="4">
        <x:v>4.0</x:v>
      </x:c>
      <x:c r="H195" s="4">
        <x:v>0.0</x:v>
      </x:c>
      <x:c r="I195" s="4">
        <x:v>4.0</x:v>
      </x:c>
      <x:c r="J195" s="4">
        <x:v>4.0</x:v>
      </x:c>
      <x:c r="K195" s="4">
        <x:v>0.0</x:v>
      </x:c>
      <x:c r="L195" s="4">
        <x:v>9.0</x:v>
      </x:c>
      <x:c r="M195" s="4">
        <x:v>9.0</x:v>
      </x:c>
    </x:row>
    <x:row r="196" ht="15.75" customHeight="1">
      <x:c r="A196" s="4">
        <x:v>6426.0</x:v>
      </x:c>
      <x:c r="B196" s="4" t="s">
        <x:v>98</x:v>
      </x:c>
      <x:c r="C196" s="4" t="s">
        <x:v>109</x:v>
      </x:c>
      <x:c r="D196" s="4" t="s">
        <x:v>239</x:v>
      </x:c>
      <x:c r="E196" s="4" t="s">
        <x:v>41</x:v>
      </x:c>
      <x:c r="F196" s="4">
        <x:v>4.0</x:v>
      </x:c>
      <x:c r="G196" s="4">
        <x:v>4.0</x:v>
      </x:c>
      <x:c r="H196" s="4">
        <x:v>0.0</x:v>
      </x:c>
      <x:c r="I196" s="4">
        <x:v>4.0</x:v>
      </x:c>
      <x:c r="J196" s="4">
        <x:v>4.0</x:v>
      </x:c>
      <x:c r="K196" s="4">
        <x:v>0.0</x:v>
      </x:c>
      <x:c r="L196" s="4">
        <x:v>9.0</x:v>
      </x:c>
      <x:c r="M196" s="4">
        <x:v>9.0</x:v>
      </x:c>
    </x:row>
    <x:row r="197" ht="15.75" customHeight="1">
      <x:c r="A197" s="4">
        <x:v>6211.0</x:v>
      </x:c>
      <x:c r="B197" s="4" t="s">
        <x:v>98</x:v>
      </x:c>
      <x:c r="C197" s="4" t="s">
        <x:v>116</x:v>
      </x:c>
      <x:c r="D197" s="4" t="s">
        <x:v>240</x:v>
      </x:c>
      <x:c r="E197" s="4" t="s">
        <x:v>51</x:v>
      </x:c>
      <x:c r="F197" s="4">
        <x:v>4.0</x:v>
      </x:c>
      <x:c r="G197" s="4">
        <x:v>3.0</x:v>
      </x:c>
      <x:c r="H197" s="4">
        <x:v>1.0</x:v>
      </x:c>
      <x:c r="I197" s="4">
        <x:v>4.0</x:v>
      </x:c>
      <x:c r="J197" s="4">
        <x:v>3.0</x:v>
      </x:c>
      <x:c r="K197" s="4">
        <x:v>1.0</x:v>
      </x:c>
      <x:c r="L197" s="4">
        <x:v>8.0</x:v>
      </x:c>
      <x:c r="M197" s="4">
        <x:v>8.0</x:v>
      </x:c>
    </x:row>
    <x:row r="198" ht="15.75" customHeight="1">
      <x:c r="A198" s="4">
        <x:v>6631.0</x:v>
      </x:c>
      <x:c r="B198" s="4" t="s">
        <x:v>98</x:v>
      </x:c>
      <x:c r="C198" s="4" t="s">
        <x:v>103</x:v>
      </x:c>
      <x:c r="D198" s="4" t="s">
        <x:v>241</x:v>
      </x:c>
      <x:c r="E198" s="4" t="s">
        <x:v>25</x:v>
      </x:c>
      <x:c r="F198" s="4">
        <x:v>4.0</x:v>
      </x:c>
      <x:c r="G198" s="4">
        <x:v>4.0</x:v>
      </x:c>
      <x:c r="H198" s="4">
        <x:v>0.0</x:v>
      </x:c>
      <x:c r="I198" s="4">
        <x:v>4.0</x:v>
      </x:c>
      <x:c r="J198" s="4">
        <x:v>4.0</x:v>
      </x:c>
      <x:c r="K198" s="4">
        <x:v>0.0</x:v>
      </x:c>
      <x:c r="L198" s="4">
        <x:v>11.0</x:v>
      </x:c>
      <x:c r="M198" s="4">
        <x:v>11.0</x:v>
      </x:c>
    </x:row>
    <x:row r="199" ht="15.75" customHeight="1">
      <x:c r="A199" s="4">
        <x:v>6957.0</x:v>
      </x:c>
      <x:c r="B199" s="4" t="s">
        <x:v>98</x:v>
      </x:c>
      <x:c r="C199" s="4" t="s">
        <x:v>103</x:v>
      </x:c>
      <x:c r="D199" s="4" t="s">
        <x:v>242</x:v>
      </x:c>
      <x:c r="E199" s="4" t="s">
        <x:v>57</x:v>
      </x:c>
      <x:c r="F199" s="4">
        <x:v>4.0</x:v>
      </x:c>
      <x:c r="G199" s="4">
        <x:v>4.0</x:v>
      </x:c>
      <x:c r="H199" s="4">
        <x:v>0.0</x:v>
      </x:c>
      <x:c r="I199" s="4">
        <x:v>4.0</x:v>
      </x:c>
      <x:c r="J199" s="4">
        <x:v>4.0</x:v>
      </x:c>
      <x:c r="K199" s="4">
        <x:v>0.0</x:v>
      </x:c>
      <x:c r="L199" s="4">
        <x:v>9.0</x:v>
      </x:c>
      <x:c r="M199" s="4">
        <x:v>9.0</x:v>
      </x:c>
    </x:row>
    <x:row r="200" ht="15.75" customHeight="1">
      <x:c r="A200" s="4">
        <x:v>5994.0</x:v>
      </x:c>
      <x:c r="B200" s="4" t="s">
        <x:v>98</x:v>
      </x:c>
      <x:c r="C200" s="4" t="s">
        <x:v>124</x:v>
      </x:c>
      <x:c r="D200" s="4" t="s">
        <x:v>243</x:v>
      </x:c>
      <x:c r="E200" s="4" t="s">
        <x:v>57</x:v>
      </x:c>
      <x:c r="F200" s="4">
        <x:v>4.0</x:v>
      </x:c>
      <x:c r="G200" s="4">
        <x:v>4.0</x:v>
      </x:c>
      <x:c r="H200" s="4">
        <x:v>0.0</x:v>
      </x:c>
      <x:c r="I200" s="4">
        <x:v>5.0</x:v>
      </x:c>
      <x:c r="J200" s="4">
        <x:v>5.0</x:v>
      </x:c>
      <x:c r="K200" s="4">
        <x:v>0.0</x:v>
      </x:c>
      <x:c r="L200" s="4">
        <x:v>11.0</x:v>
      </x:c>
      <x:c r="M200" s="4">
        <x:v>13.0</x:v>
      </x:c>
    </x:row>
    <x:row r="201" ht="15.75" customHeight="1">
      <x:c r="A201" s="4">
        <x:v>5532.0</x:v>
      </x:c>
      <x:c r="B201" s="4" t="s">
        <x:v>98</x:v>
      </x:c>
      <x:c r="C201" s="4" t="s">
        <x:v>116</x:v>
      </x:c>
      <x:c r="D201" s="4" t="s">
        <x:v>244</x:v>
      </x:c>
      <x:c r="E201" s="4" t="s">
        <x:v>57</x:v>
      </x:c>
      <x:c r="F201" s="4">
        <x:v>4.0</x:v>
      </x:c>
      <x:c r="G201" s="4">
        <x:v>4.0</x:v>
      </x:c>
      <x:c r="H201" s="4">
        <x:v>0.0</x:v>
      </x:c>
      <x:c r="I201" s="4">
        <x:v>4.0</x:v>
      </x:c>
      <x:c r="J201" s="4">
        <x:v>4.0</x:v>
      </x:c>
      <x:c r="K201" s="4">
        <x:v>0.0</x:v>
      </x:c>
      <x:c r="L201" s="4">
        <x:v>8.0</x:v>
      </x:c>
      <x:c r="M201" s="4">
        <x:v>8.0</x:v>
      </x:c>
    </x:row>
    <x:row r="202" ht="15.75" customHeight="1">
      <x:c r="A202" s="4">
        <x:v>7202.0</x:v>
      </x:c>
      <x:c r="B202" s="4" t="s">
        <x:v>98</x:v>
      </x:c>
      <x:c r="C202" s="4" t="s">
        <x:v>103</x:v>
      </x:c>
      <x:c r="D202" s="4" t="s">
        <x:v>245</x:v>
      </x:c>
      <x:c r="E202" s="4" t="s">
        <x:v>45</x:v>
      </x:c>
      <x:c r="F202" s="4">
        <x:v>4.0</x:v>
      </x:c>
      <x:c r="G202" s="4">
        <x:v>4.0</x:v>
      </x:c>
      <x:c r="H202" s="4">
        <x:v>0.0</x:v>
      </x:c>
      <x:c r="I202" s="4">
        <x:v>4.0</x:v>
      </x:c>
      <x:c r="J202" s="4">
        <x:v>4.0</x:v>
      </x:c>
      <x:c r="K202" s="4">
        <x:v>0.0</x:v>
      </x:c>
      <x:c r="L202" s="4">
        <x:v>10.0</x:v>
      </x:c>
      <x:c r="M202" s="4">
        <x:v>10.0</x:v>
      </x:c>
    </x:row>
    <x:row r="203" ht="15.75" customHeight="1">
      <x:c r="A203" s="4">
        <x:v>6537.0</x:v>
      </x:c>
      <x:c r="B203" s="4" t="s">
        <x:v>98</x:v>
      </x:c>
      <x:c r="C203" s="4" t="s">
        <x:v>133</x:v>
      </x:c>
      <x:c r="D203" s="4" t="s">
        <x:v>246</x:v>
      </x:c>
      <x:c r="E203" s="4" t="s">
        <x:v>51</x:v>
      </x:c>
      <x:c r="F203" s="4">
        <x:v>4.0</x:v>
      </x:c>
      <x:c r="G203" s="4">
        <x:v>4.0</x:v>
      </x:c>
      <x:c r="H203" s="4">
        <x:v>0.0</x:v>
      </x:c>
      <x:c r="I203" s="4">
        <x:v>4.0</x:v>
      </x:c>
      <x:c r="J203" s="4">
        <x:v>4.0</x:v>
      </x:c>
      <x:c r="K203" s="4">
        <x:v>0.0</x:v>
      </x:c>
      <x:c r="L203" s="4">
        <x:v>10.0</x:v>
      </x:c>
      <x:c r="M203" s="4">
        <x:v>11.0</x:v>
      </x:c>
    </x:row>
    <x:row r="204" ht="15.75" customHeight="1">
      <x:c r="A204" s="4">
        <x:v>7220.0</x:v>
      </x:c>
      <x:c r="B204" s="4" t="s">
        <x:v>98</x:v>
      </x:c>
      <x:c r="C204" s="4" t="s">
        <x:v>109</x:v>
      </x:c>
      <x:c r="D204" s="4" t="s">
        <x:v>247</x:v>
      </x:c>
      <x:c r="E204" s="4" t="s">
        <x:v>57</x:v>
      </x:c>
      <x:c r="F204" s="4">
        <x:v>4.0</x:v>
      </x:c>
      <x:c r="G204" s="4">
        <x:v>4.0</x:v>
      </x:c>
      <x:c r="H204" s="4">
        <x:v>0.0</x:v>
      </x:c>
      <x:c r="I204" s="4">
        <x:v>4.0</x:v>
      </x:c>
      <x:c r="J204" s="4">
        <x:v>4.0</x:v>
      </x:c>
      <x:c r="K204" s="4">
        <x:v>0.0</x:v>
      </x:c>
      <x:c r="L204" s="4">
        <x:v>12.0</x:v>
      </x:c>
      <x:c r="M204" s="4">
        <x:v>12.0</x:v>
      </x:c>
    </x:row>
    <x:row r="205" ht="15.75" customHeight="1">
      <x:c r="A205" s="4">
        <x:v>7018.0</x:v>
      </x:c>
      <x:c r="B205" s="4" t="s">
        <x:v>98</x:v>
      </x:c>
      <x:c r="C205" s="4" t="s">
        <x:v>103</x:v>
      </x:c>
      <x:c r="D205" s="4" t="s">
        <x:v>248</x:v>
      </x:c>
      <x:c r="E205" s="4" t="s">
        <x:v>57</x:v>
      </x:c>
      <x:c r="F205" s="4">
        <x:v>4.0</x:v>
      </x:c>
      <x:c r="G205" s="4">
        <x:v>5.0</x:v>
      </x:c>
      <x:c r="H205" s="4">
        <x:v>-1.0</x:v>
      </x:c>
      <x:c r="I205" s="4">
        <x:v>4.0</x:v>
      </x:c>
      <x:c r="J205" s="4">
        <x:v>5.0</x:v>
      </x:c>
      <x:c r="K205" s="4">
        <x:v>-1.0</x:v>
      </x:c>
      <x:c r="L205" s="4">
        <x:v>10.0</x:v>
      </x:c>
      <x:c r="M205" s="4">
        <x:v>10.0</x:v>
      </x:c>
    </x:row>
    <x:row r="206" ht="15.75" customHeight="1">
      <x:c r="A206" s="4">
        <x:v>7240.0</x:v>
      </x:c>
      <x:c r="B206" s="4" t="s">
        <x:v>98</x:v>
      </x:c>
      <x:c r="C206" s="4" t="s">
        <x:v>103</x:v>
      </x:c>
      <x:c r="D206" s="4" t="s">
        <x:v>249</x:v>
      </x:c>
      <x:c r="E206" s="4" t="s">
        <x:v>43</x:v>
      </x:c>
      <x:c r="F206" s="4">
        <x:v>4.0</x:v>
      </x:c>
      <x:c r="G206" s="4">
        <x:v>5.0</x:v>
      </x:c>
      <x:c r="H206" s="4">
        <x:v>-1.0</x:v>
      </x:c>
      <x:c r="I206" s="4">
        <x:v>4.0</x:v>
      </x:c>
      <x:c r="J206" s="4">
        <x:v>5.0</x:v>
      </x:c>
      <x:c r="K206" s="4">
        <x:v>-1.0</x:v>
      </x:c>
      <x:c r="L206" s="4">
        <x:v>11.0</x:v>
      </x:c>
      <x:c r="M206" s="4">
        <x:v>11.0</x:v>
      </x:c>
    </x:row>
    <x:row r="207" ht="15.75" customHeight="1">
      <x:c r="A207" s="4">
        <x:v>5168.0</x:v>
      </x:c>
      <x:c r="B207" s="4" t="s">
        <x:v>98</x:v>
      </x:c>
      <x:c r="C207" s="4" t="s">
        <x:v>116</x:v>
      </x:c>
      <x:c r="D207" s="4" t="s">
        <x:v>250</x:v>
      </x:c>
      <x:c r="E207" s="4" t="s">
        <x:v>25</x:v>
      </x:c>
      <x:c r="F207" s="4">
        <x:v>4.0</x:v>
      </x:c>
      <x:c r="G207" s="4">
        <x:v>4.0</x:v>
      </x:c>
      <x:c r="H207" s="4">
        <x:v>0.0</x:v>
      </x:c>
      <x:c r="I207" s="4">
        <x:v>4.0</x:v>
      </x:c>
      <x:c r="J207" s="4">
        <x:v>4.0</x:v>
      </x:c>
      <x:c r="K207" s="4">
        <x:v>0.0</x:v>
      </x:c>
      <x:c r="L207" s="4">
        <x:v>8.0</x:v>
      </x:c>
      <x:c r="M207" s="4">
        <x:v>8.0</x:v>
      </x:c>
    </x:row>
    <x:row r="208" ht="15.75" customHeight="1">
      <x:c r="A208" s="4">
        <x:v>6351.0</x:v>
      </x:c>
      <x:c r="B208" s="4" t="s">
        <x:v>98</x:v>
      </x:c>
      <x:c r="C208" s="4" t="s">
        <x:v>154</x:v>
      </x:c>
      <x:c r="D208" s="4" t="s">
        <x:v>251</x:v>
      </x:c>
      <x:c r="E208" s="4" t="s">
        <x:v>29</x:v>
      </x:c>
      <x:c r="F208" s="4">
        <x:v>4.0</x:v>
      </x:c>
      <x:c r="G208" s="4">
        <x:v>4.0</x:v>
      </x:c>
      <x:c r="H208" s="4">
        <x:v>0.0</x:v>
      </x:c>
      <x:c r="I208" s="4">
        <x:v>5.0</x:v>
      </x:c>
      <x:c r="J208" s="4">
        <x:v>5.0</x:v>
      </x:c>
      <x:c r="K208" s="4">
        <x:v>0.0</x:v>
      </x:c>
      <x:c r="L208" s="4">
        <x:v>8.0</x:v>
      </x:c>
      <x:c r="M208" s="4">
        <x:v>10.0</x:v>
      </x:c>
    </x:row>
    <x:row r="209" ht="15.75" customHeight="1">
      <x:c r="A209" s="4">
        <x:v>6870.0</x:v>
      </x:c>
      <x:c r="B209" s="4" t="s">
        <x:v>98</x:v>
      </x:c>
      <x:c r="C209" s="4" t="s">
        <x:v>103</x:v>
      </x:c>
      <x:c r="D209" s="4" t="s">
        <x:v>252</x:v>
      </x:c>
      <x:c r="E209" s="4" t="s">
        <x:v>47</x:v>
      </x:c>
      <x:c r="F209" s="4">
        <x:v>4.0</x:v>
      </x:c>
      <x:c r="G209" s="4">
        <x:v>4.0</x:v>
      </x:c>
      <x:c r="H209" s="4">
        <x:v>0.0</x:v>
      </x:c>
      <x:c r="I209" s="4">
        <x:v>4.0</x:v>
      </x:c>
      <x:c r="J209" s="4">
        <x:v>4.0</x:v>
      </x:c>
      <x:c r="K209" s="4">
        <x:v>0.0</x:v>
      </x:c>
      <x:c r="L209" s="4">
        <x:v>9.0</x:v>
      </x:c>
      <x:c r="M209" s="4">
        <x:v>9.0</x:v>
      </x:c>
    </x:row>
    <x:row r="210" ht="15.75" customHeight="1">
      <x:c r="A210" s="4">
        <x:v>7274.0</x:v>
      </x:c>
      <x:c r="B210" s="4" t="s">
        <x:v>98</x:v>
      </x:c>
      <x:c r="C210" s="4" t="s">
        <x:v>103</x:v>
      </x:c>
      <x:c r="D210" s="4" t="s">
        <x:v>253</x:v>
      </x:c>
      <x:c r="E210" s="4" t="s">
        <x:v>39</x:v>
      </x:c>
      <x:c r="F210" s="4">
        <x:v>4.0</x:v>
      </x:c>
      <x:c r="G210" s="4">
        <x:v>4.0</x:v>
      </x:c>
      <x:c r="H210" s="4">
        <x:v>0.0</x:v>
      </x:c>
      <x:c r="I210" s="4">
        <x:v>4.0</x:v>
      </x:c>
      <x:c r="J210" s="4">
        <x:v>4.0</x:v>
      </x:c>
      <x:c r="K210" s="4">
        <x:v>0.0</x:v>
      </x:c>
      <x:c r="L210" s="4">
        <x:v>9.0</x:v>
      </x:c>
      <x:c r="M210" s="4">
        <x:v>9.0</x:v>
      </x:c>
    </x:row>
    <x:row r="211" ht="15.75" customHeight="1">
      <x:c r="A211" s="4">
        <x:v>7125.0</x:v>
      </x:c>
      <x:c r="B211" s="4" t="s">
        <x:v>98</x:v>
      </x:c>
      <x:c r="C211" s="4" t="s">
        <x:v>116</x:v>
      </x:c>
      <x:c r="D211" s="4" t="s">
        <x:v>254</x:v>
      </x:c>
      <x:c r="E211" s="4" t="s">
        <x:v>39</x:v>
      </x:c>
      <x:c r="F211" s="4">
        <x:v>3.0</x:v>
      </x:c>
      <x:c r="G211" s="4">
        <x:v>3.0</x:v>
      </x:c>
      <x:c r="H211" s="4">
        <x:v>0.0</x:v>
      </x:c>
      <x:c r="I211" s="4">
        <x:v>3.0</x:v>
      </x:c>
      <x:c r="J211" s="4">
        <x:v>3.0</x:v>
      </x:c>
      <x:c r="K211" s="4">
        <x:v>0.0</x:v>
      </x:c>
      <x:c r="L211" s="4">
        <x:v>7.0</x:v>
      </x:c>
      <x:c r="M211" s="4">
        <x:v>7.0</x:v>
      </x:c>
    </x:row>
    <x:row r="212" ht="15.75" customHeight="1">
      <x:c r="A212" s="4">
        <x:v>5435.0</x:v>
      </x:c>
      <x:c r="B212" s="4" t="s">
        <x:v>98</x:v>
      </x:c>
      <x:c r="C212" s="4" t="s">
        <x:v>116</x:v>
      </x:c>
      <x:c r="D212" s="4" t="s">
        <x:v>255</x:v>
      </x:c>
      <x:c r="E212" s="4" t="s">
        <x:v>35</x:v>
      </x:c>
      <x:c r="F212" s="4">
        <x:v>3.0</x:v>
      </x:c>
      <x:c r="G212" s="4">
        <x:v>3.0</x:v>
      </x:c>
      <x:c r="H212" s="4">
        <x:v>0.0</x:v>
      </x:c>
      <x:c r="I212" s="4">
        <x:v>3.0</x:v>
      </x:c>
      <x:c r="J212" s="4">
        <x:v>3.0</x:v>
      </x:c>
      <x:c r="K212" s="4">
        <x:v>0.0</x:v>
      </x:c>
      <x:c r="L212" s="4">
        <x:v>7.0</x:v>
      </x:c>
      <x:c r="M212" s="4">
        <x:v>7.0</x:v>
      </x:c>
    </x:row>
    <x:row r="213" ht="15.75" customHeight="1">
      <x:c r="A213" s="4">
        <x:v>6013.0</x:v>
      </x:c>
      <x:c r="B213" s="4" t="s">
        <x:v>98</x:v>
      </x:c>
      <x:c r="C213" s="4" t="s">
        <x:v>154</x:v>
      </x:c>
      <x:c r="D213" s="4" t="s">
        <x:v>256</x:v>
      </x:c>
      <x:c r="E213" s="4" t="s">
        <x:v>47</x:v>
      </x:c>
      <x:c r="F213" s="4">
        <x:v>3.0</x:v>
      </x:c>
      <x:c r="G213" s="4">
        <x:v>3.0</x:v>
      </x:c>
      <x:c r="H213" s="4">
        <x:v>0.0</x:v>
      </x:c>
      <x:c r="I213" s="4">
        <x:v>4.0</x:v>
      </x:c>
      <x:c r="J213" s="4">
        <x:v>4.0</x:v>
      </x:c>
      <x:c r="K213" s="4">
        <x:v>0.0</x:v>
      </x:c>
      <x:c r="L213" s="4">
        <x:v>8.0</x:v>
      </x:c>
      <x:c r="M213" s="4">
        <x:v>9.0</x:v>
      </x:c>
    </x:row>
    <x:row r="214" ht="15.75" customHeight="1">
      <x:c r="A214" s="4">
        <x:v>7069.0</x:v>
      </x:c>
      <x:c r="B214" s="4" t="s">
        <x:v>98</x:v>
      </x:c>
      <x:c r="C214" s="4" t="s">
        <x:v>99</x:v>
      </x:c>
      <x:c r="D214" s="4" t="s">
        <x:v>257</x:v>
      </x:c>
      <x:c r="E214" s="4" t="s">
        <x:v>29</x:v>
      </x:c>
      <x:c r="F214" s="4">
        <x:v>3.0</x:v>
      </x:c>
      <x:c r="G214" s="4">
        <x:v>3.0</x:v>
      </x:c>
      <x:c r="H214" s="4">
        <x:v>0.0</x:v>
      </x:c>
      <x:c r="I214" s="4">
        <x:v>3.0</x:v>
      </x:c>
      <x:c r="J214" s="4">
        <x:v>3.0</x:v>
      </x:c>
      <x:c r="K214" s="4">
        <x:v>0.0</x:v>
      </x:c>
      <x:c r="L214" s="4">
        <x:v>5.0</x:v>
      </x:c>
      <x:c r="M214" s="4">
        <x:v>4.0</x:v>
      </x:c>
    </x:row>
    <x:row r="215" ht="15.75" customHeight="1">
      <x:c r="A215" s="4">
        <x:v>294.0</x:v>
      </x:c>
      <x:c r="B215" s="4" t="s">
        <x:v>98</x:v>
      </x:c>
      <x:c r="C215" s="4" t="s">
        <x:v>103</x:v>
      </x:c>
      <x:c r="D215" s="4" t="s">
        <x:v>258</x:v>
      </x:c>
      <x:c r="E215" s="4" t="s">
        <x:v>17</x:v>
      </x:c>
      <x:c r="F215" s="4">
        <x:v>3.0</x:v>
      </x:c>
      <x:c r="G215" s="4">
        <x:v>3.0</x:v>
      </x:c>
      <x:c r="H215" s="4">
        <x:v>0.0</x:v>
      </x:c>
      <x:c r="I215" s="4">
        <x:v>3.0</x:v>
      </x:c>
      <x:c r="J215" s="4">
        <x:v>3.0</x:v>
      </x:c>
      <x:c r="K215" s="4">
        <x:v>0.0</x:v>
      </x:c>
      <x:c r="L215" s="4">
        <x:v>5.0</x:v>
      </x:c>
      <x:c r="M215" s="4">
        <x:v>5.0</x:v>
      </x:c>
    </x:row>
    <x:row r="216" ht="15.75" customHeight="1">
      <x:c r="A216" s="4">
        <x:v>140.0</x:v>
      </x:c>
      <x:c r="B216" s="4" t="s">
        <x:v>98</x:v>
      </x:c>
      <x:c r="C216" s="4" t="s">
        <x:v>154</x:v>
      </x:c>
      <x:c r="D216" s="4" t="s">
        <x:v>259</x:v>
      </x:c>
      <x:c r="E216" s="4" t="s">
        <x:v>31</x:v>
      </x:c>
      <x:c r="F216" s="4">
        <x:v>3.0</x:v>
      </x:c>
      <x:c r="G216" s="4">
        <x:v>3.0</x:v>
      </x:c>
      <x:c r="H216" s="4">
        <x:v>0.0</x:v>
      </x:c>
      <x:c r="I216" s="4">
        <x:v>3.0</x:v>
      </x:c>
      <x:c r="J216" s="4">
        <x:v>3.0</x:v>
      </x:c>
      <x:c r="K216" s="4">
        <x:v>0.0</x:v>
      </x:c>
      <x:c r="L216" s="4">
        <x:v>6.0</x:v>
      </x:c>
      <x:c r="M216" s="4">
        <x:v>6.0</x:v>
      </x:c>
    </x:row>
    <x:row r="217" ht="15.75" customHeight="1">
      <x:c r="A217" s="4">
        <x:v>6883.0</x:v>
      </x:c>
      <x:c r="B217" s="4" t="s">
        <x:v>98</x:v>
      </x:c>
      <x:c r="C217" s="4" t="s">
        <x:v>103</x:v>
      </x:c>
      <x:c r="D217" s="4" t="s">
        <x:v>260</x:v>
      </x:c>
      <x:c r="E217" s="4" t="s">
        <x:v>43</x:v>
      </x:c>
      <x:c r="F217" s="4">
        <x:v>3.0</x:v>
      </x:c>
      <x:c r="G217" s="4">
        <x:v>3.0</x:v>
      </x:c>
      <x:c r="H217" s="4">
        <x:v>0.0</x:v>
      </x:c>
      <x:c r="I217" s="4">
        <x:v>3.0</x:v>
      </x:c>
      <x:c r="J217" s="4">
        <x:v>3.0</x:v>
      </x:c>
      <x:c r="K217" s="4">
        <x:v>0.0</x:v>
      </x:c>
      <x:c r="L217" s="4">
        <x:v>3.0</x:v>
      </x:c>
      <x:c r="M217" s="4">
        <x:v>3.0</x:v>
      </x:c>
    </x:row>
    <x:row r="218" ht="15.75" customHeight="1">
      <x:c r="A218" s="4">
        <x:v>6496.0</x:v>
      </x:c>
      <x:c r="B218" s="4" t="s">
        <x:v>98</x:v>
      </x:c>
      <x:c r="C218" s="4" t="s">
        <x:v>116</x:v>
      </x:c>
      <x:c r="D218" s="4" t="s">
        <x:v>261</x:v>
      </x:c>
      <x:c r="E218" s="4" t="s">
        <x:v>21</x:v>
      </x:c>
      <x:c r="F218" s="4">
        <x:v>3.0</x:v>
      </x:c>
      <x:c r="G218" s="4">
        <x:v>3.0</x:v>
      </x:c>
      <x:c r="H218" s="4">
        <x:v>0.0</x:v>
      </x:c>
      <x:c r="I218" s="4">
        <x:v>3.0</x:v>
      </x:c>
      <x:c r="J218" s="4">
        <x:v>3.0</x:v>
      </x:c>
      <x:c r="K218" s="4">
        <x:v>0.0</x:v>
      </x:c>
      <x:c r="L218" s="4">
        <x:v>5.0</x:v>
      </x:c>
      <x:c r="M218" s="4">
        <x:v>5.0</x:v>
      </x:c>
    </x:row>
    <x:row r="219" ht="15.75" customHeight="1">
      <x:c r="A219" s="4">
        <x:v>6809.0</x:v>
      </x:c>
      <x:c r="B219" s="4" t="s">
        <x:v>98</x:v>
      </x:c>
      <x:c r="C219" s="4" t="s">
        <x:v>103</x:v>
      </x:c>
      <x:c r="D219" s="4" t="s">
        <x:v>262</x:v>
      </x:c>
      <x:c r="E219" s="4" t="s">
        <x:v>23</x:v>
      </x:c>
      <x:c r="F219" s="4">
        <x:v>3.0</x:v>
      </x:c>
      <x:c r="G219" s="4">
        <x:v>3.0</x:v>
      </x:c>
      <x:c r="H219" s="4">
        <x:v>0.0</x:v>
      </x:c>
      <x:c r="I219" s="4">
        <x:v>3.0</x:v>
      </x:c>
      <x:c r="J219" s="4">
        <x:v>3.0</x:v>
      </x:c>
      <x:c r="K219" s="4">
        <x:v>0.0</x:v>
      </x:c>
      <x:c r="L219" s="4">
        <x:v>9.0</x:v>
      </x:c>
      <x:c r="M219" s="4">
        <x:v>9.0</x:v>
      </x:c>
    </x:row>
    <x:row r="220" ht="15.75" customHeight="1">
      <x:c r="A220" s="4">
        <x:v>5527.0</x:v>
      </x:c>
      <x:c r="B220" s="4" t="s">
        <x:v>98</x:v>
      </x:c>
      <x:c r="C220" s="4" t="s">
        <x:v>109</x:v>
      </x:c>
      <x:c r="D220" s="4" t="s">
        <x:v>263</x:v>
      </x:c>
      <x:c r="E220" s="4" t="s">
        <x:v>51</x:v>
      </x:c>
      <x:c r="F220" s="4">
        <x:v>3.0</x:v>
      </x:c>
      <x:c r="G220" s="4">
        <x:v>3.0</x:v>
      </x:c>
      <x:c r="H220" s="4">
        <x:v>0.0</x:v>
      </x:c>
      <x:c r="I220" s="4">
        <x:v>3.0</x:v>
      </x:c>
      <x:c r="J220" s="4">
        <x:v>3.0</x:v>
      </x:c>
      <x:c r="K220" s="4">
        <x:v>0.0</x:v>
      </x:c>
      <x:c r="L220" s="4">
        <x:v>8.0</x:v>
      </x:c>
      <x:c r="M220" s="4">
        <x:v>8.0</x:v>
      </x:c>
    </x:row>
    <x:row r="221" ht="15.75" customHeight="1">
      <x:c r="A221" s="4">
        <x:v>5481.0</x:v>
      </x:c>
      <x:c r="B221" s="4" t="s">
        <x:v>98</x:v>
      </x:c>
      <x:c r="C221" s="4" t="s">
        <x:v>154</x:v>
      </x:c>
      <x:c r="D221" s="4" t="s">
        <x:v>264</x:v>
      </x:c>
      <x:c r="E221" s="4" t="s">
        <x:v>23</x:v>
      </x:c>
      <x:c r="F221" s="4">
        <x:v>3.0</x:v>
      </x:c>
      <x:c r="G221" s="4">
        <x:v>3.0</x:v>
      </x:c>
      <x:c r="H221" s="4">
        <x:v>0.0</x:v>
      </x:c>
      <x:c r="I221" s="4">
        <x:v>3.0</x:v>
      </x:c>
      <x:c r="J221" s="4">
        <x:v>3.0</x:v>
      </x:c>
      <x:c r="K221" s="4">
        <x:v>0.0</x:v>
      </x:c>
      <x:c r="L221" s="4">
        <x:v>5.0</x:v>
      </x:c>
      <x:c r="M221" s="4">
        <x:v>6.0</x:v>
      </x:c>
    </x:row>
    <x:row r="222" ht="15.75" customHeight="1">
      <x:c r="A222" s="4">
        <x:v>6965.0</x:v>
      </x:c>
      <x:c r="B222" s="4" t="s">
        <x:v>98</x:v>
      </x:c>
      <x:c r="C222" s="4" t="s">
        <x:v>116</x:v>
      </x:c>
      <x:c r="D222" s="4" t="s">
        <x:v>265</x:v>
      </x:c>
      <x:c r="E222" s="4" t="s">
        <x:v>45</x:v>
      </x:c>
      <x:c r="F222" s="4">
        <x:v>3.0</x:v>
      </x:c>
      <x:c r="G222" s="4">
        <x:v>2.0</x:v>
      </x:c>
      <x:c r="H222" s="4">
        <x:v>1.0</x:v>
      </x:c>
      <x:c r="I222" s="4">
        <x:v>3.0</x:v>
      </x:c>
      <x:c r="J222" s="4">
        <x:v>2.0</x:v>
      </x:c>
      <x:c r="K222" s="4">
        <x:v>1.0</x:v>
      </x:c>
      <x:c r="L222" s="4">
        <x:v>11.0</x:v>
      </x:c>
      <x:c r="M222" s="4">
        <x:v>11.0</x:v>
      </x:c>
    </x:row>
    <x:row r="223" ht="15.75" customHeight="1">
      <x:c r="A223" s="4">
        <x:v>7154.0</x:v>
      </x:c>
      <x:c r="B223" s="4" t="s">
        <x:v>98</x:v>
      </x:c>
      <x:c r="C223" s="4" t="s">
        <x:v>103</x:v>
      </x:c>
      <x:c r="D223" s="4" t="s">
        <x:v>266</x:v>
      </x:c>
      <x:c r="E223" s="4" t="s">
        <x:v>49</x:v>
      </x:c>
      <x:c r="F223" s="4">
        <x:v>3.0</x:v>
      </x:c>
      <x:c r="G223" s="4">
        <x:v>3.0</x:v>
      </x:c>
      <x:c r="H223" s="4">
        <x:v>0.0</x:v>
      </x:c>
      <x:c r="I223" s="4">
        <x:v>3.0</x:v>
      </x:c>
      <x:c r="J223" s="4">
        <x:v>3.0</x:v>
      </x:c>
      <x:c r="K223" s="4">
        <x:v>0.0</x:v>
      </x:c>
      <x:c r="L223" s="4">
        <x:v>8.0</x:v>
      </x:c>
      <x:c r="M223" s="4">
        <x:v>8.0</x:v>
      </x:c>
    </x:row>
    <x:row r="224" ht="15.75" customHeight="1">
      <x:c r="A224" s="4">
        <x:v>6041.0</x:v>
      </x:c>
      <x:c r="B224" s="4" t="s">
        <x:v>98</x:v>
      </x:c>
      <x:c r="C224" s="4" t="s">
        <x:v>103</x:v>
      </x:c>
      <x:c r="D224" s="4" t="s">
        <x:v>267</x:v>
      </x:c>
      <x:c r="E224" s="4" t="s">
        <x:v>41</x:v>
      </x:c>
      <x:c r="F224" s="4">
        <x:v>3.0</x:v>
      </x:c>
      <x:c r="G224" s="4">
        <x:v>3.0</x:v>
      </x:c>
      <x:c r="H224" s="4">
        <x:v>0.0</x:v>
      </x:c>
      <x:c r="I224" s="4">
        <x:v>3.0</x:v>
      </x:c>
      <x:c r="J224" s="4">
        <x:v>3.0</x:v>
      </x:c>
      <x:c r="K224" s="4">
        <x:v>0.0</x:v>
      </x:c>
      <x:c r="L224" s="4">
        <x:v>5.0</x:v>
      </x:c>
      <x:c r="M224" s="4">
        <x:v>5.0</x:v>
      </x:c>
    </x:row>
    <x:row r="225" ht="15.75" customHeight="1">
      <x:c r="A225" s="4">
        <x:v>4263.0</x:v>
      </x:c>
      <x:c r="B225" s="4" t="s">
        <x:v>98</x:v>
      </x:c>
      <x:c r="C225" s="4" t="s">
        <x:v>103</x:v>
      </x:c>
      <x:c r="D225" s="4" t="s">
        <x:v>268</x:v>
      </x:c>
      <x:c r="E225" s="4" t="s">
        <x:v>51</x:v>
      </x:c>
      <x:c r="F225" s="4">
        <x:v>3.0</x:v>
      </x:c>
      <x:c r="G225" s="4">
        <x:v>3.0</x:v>
      </x:c>
      <x:c r="H225" s="4">
        <x:v>0.0</x:v>
      </x:c>
      <x:c r="I225" s="4">
        <x:v>3.0</x:v>
      </x:c>
      <x:c r="J225" s="4">
        <x:v>3.0</x:v>
      </x:c>
      <x:c r="K225" s="4">
        <x:v>0.0</x:v>
      </x:c>
      <x:c r="L225" s="4">
        <x:v>6.0</x:v>
      </x:c>
      <x:c r="M225" s="4">
        <x:v>6.0</x:v>
      </x:c>
    </x:row>
    <x:row r="226" ht="15.75" customHeight="1">
      <x:c r="A226" s="4">
        <x:v>6900.0</x:v>
      </x:c>
      <x:c r="B226" s="4" t="s">
        <x:v>98</x:v>
      </x:c>
      <x:c r="C226" s="4" t="s">
        <x:v>99</x:v>
      </x:c>
      <x:c r="D226" s="4" t="s">
        <x:v>269</x:v>
      </x:c>
      <x:c r="E226" s="4" t="s">
        <x:v>51</x:v>
      </x:c>
      <x:c r="F226" s="4">
        <x:v>3.0</x:v>
      </x:c>
      <x:c r="G226" s="4">
        <x:v>3.0</x:v>
      </x:c>
      <x:c r="H226" s="4">
        <x:v>0.0</x:v>
      </x:c>
      <x:c r="I226" s="4">
        <x:v>2.0</x:v>
      </x:c>
      <x:c r="J226" s="4">
        <x:v>2.0</x:v>
      </x:c>
      <x:c r="K226" s="4">
        <x:v>0.0</x:v>
      </x:c>
      <x:c r="L226" s="4">
        <x:v>6.0</x:v>
      </x:c>
      <x:c r="M226" s="4">
        <x:v>4.0</x:v>
      </x:c>
    </x:row>
    <x:row r="227" ht="15.75" customHeight="1">
      <x:c r="A227" s="4">
        <x:v>6639.0</x:v>
      </x:c>
      <x:c r="B227" s="4" t="s">
        <x:v>98</x:v>
      </x:c>
      <x:c r="C227" s="4" t="s">
        <x:v>116</x:v>
      </x:c>
      <x:c r="D227" s="4" t="s">
        <x:v>270</x:v>
      </x:c>
      <x:c r="E227" s="4" t="s">
        <x:v>57</x:v>
      </x:c>
      <x:c r="F227" s="4">
        <x:v>3.0</x:v>
      </x:c>
      <x:c r="G227" s="4">
        <x:v>3.0</x:v>
      </x:c>
      <x:c r="H227" s="4">
        <x:v>0.0</x:v>
      </x:c>
      <x:c r="I227" s="4">
        <x:v>3.0</x:v>
      </x:c>
      <x:c r="J227" s="4">
        <x:v>3.0</x:v>
      </x:c>
      <x:c r="K227" s="4">
        <x:v>0.0</x:v>
      </x:c>
      <x:c r="L227" s="4">
        <x:v>9.0</x:v>
      </x:c>
      <x:c r="M227" s="4">
        <x:v>9.0</x:v>
      </x:c>
    </x:row>
    <x:row r="228" ht="15.75" customHeight="1">
      <x:c r="A228" s="4">
        <x:v>7260.0</x:v>
      </x:c>
      <x:c r="B228" s="4" t="s">
        <x:v>98</x:v>
      </x:c>
      <x:c r="C228" s="4" t="s">
        <x:v>103</x:v>
      </x:c>
      <x:c r="D228" s="4" t="s">
        <x:v>271</x:v>
      </x:c>
      <x:c r="E228" s="4" t="s">
        <x:v>25</x:v>
      </x:c>
      <x:c r="F228" s="4">
        <x:v>3.0</x:v>
      </x:c>
      <x:c r="G228" s="4">
        <x:v>3.0</x:v>
      </x:c>
      <x:c r="H228" s="4">
        <x:v>0.0</x:v>
      </x:c>
      <x:c r="I228" s="4">
        <x:v>3.0</x:v>
      </x:c>
      <x:c r="J228" s="4">
        <x:v>3.0</x:v>
      </x:c>
      <x:c r="K228" s="4">
        <x:v>0.0</x:v>
      </x:c>
      <x:c r="L228" s="4">
        <x:v>7.0</x:v>
      </x:c>
      <x:c r="M228" s="4">
        <x:v>7.0</x:v>
      </x:c>
    </x:row>
    <x:row r="229" ht="15.75" customHeight="1">
      <x:c r="A229" s="4">
        <x:v>5156.0</x:v>
      </x:c>
      <x:c r="B229" s="4" t="s">
        <x:v>98</x:v>
      </x:c>
      <x:c r="C229" s="4" t="s">
        <x:v>116</x:v>
      </x:c>
      <x:c r="D229" s="4" t="s">
        <x:v>272</x:v>
      </x:c>
      <x:c r="E229" s="4" t="s">
        <x:v>41</x:v>
      </x:c>
      <x:c r="F229" s="4">
        <x:v>3.0</x:v>
      </x:c>
      <x:c r="G229" s="4">
        <x:v>3.0</x:v>
      </x:c>
      <x:c r="H229" s="4">
        <x:v>0.0</x:v>
      </x:c>
      <x:c r="I229" s="4">
        <x:v>3.0</x:v>
      </x:c>
      <x:c r="J229" s="4">
        <x:v>3.0</x:v>
      </x:c>
      <x:c r="K229" s="4">
        <x:v>0.0</x:v>
      </x:c>
      <x:c r="L229" s="4">
        <x:v>6.0</x:v>
      </x:c>
      <x:c r="M229" s="4">
        <x:v>6.0</x:v>
      </x:c>
    </x:row>
    <x:row r="230" ht="15.75" customHeight="1">
      <x:c r="A230" s="4">
        <x:v>6665.0</x:v>
      </x:c>
      <x:c r="B230" s="4" t="s">
        <x:v>98</x:v>
      </x:c>
      <x:c r="C230" s="4" t="s">
        <x:v>154</x:v>
      </x:c>
      <x:c r="D230" s="4" t="s">
        <x:v>273</x:v>
      </x:c>
      <x:c r="E230" s="4" t="s">
        <x:v>49</x:v>
      </x:c>
      <x:c r="F230" s="4">
        <x:v>3.0</x:v>
      </x:c>
      <x:c r="G230" s="4">
        <x:v>3.0</x:v>
      </x:c>
      <x:c r="H230" s="4">
        <x:v>0.0</x:v>
      </x:c>
      <x:c r="I230" s="4">
        <x:v>4.0</x:v>
      </x:c>
      <x:c r="J230" s="4">
        <x:v>4.0</x:v>
      </x:c>
      <x:c r="K230" s="4">
        <x:v>0.0</x:v>
      </x:c>
      <x:c r="L230" s="4">
        <x:v>6.0</x:v>
      </x:c>
      <x:c r="M230" s="4">
        <x:v>8.0</x:v>
      </x:c>
    </x:row>
    <x:row r="231" ht="15.75" customHeight="1">
      <x:c r="A231" s="4">
        <x:v>6444.0</x:v>
      </x:c>
      <x:c r="B231" s="4" t="s">
        <x:v>98</x:v>
      </x:c>
      <x:c r="C231" s="4" t="s">
        <x:v>103</x:v>
      </x:c>
      <x:c r="D231" s="4" t="s">
        <x:v>274</x:v>
      </x:c>
      <x:c r="E231" s="4" t="s">
        <x:v>55</x:v>
      </x:c>
      <x:c r="F231" s="4">
        <x:v>2.0</x:v>
      </x:c>
      <x:c r="G231" s="4">
        <x:v>2.0</x:v>
      </x:c>
      <x:c r="H231" s="4">
        <x:v>0.0</x:v>
      </x:c>
      <x:c r="I231" s="4">
        <x:v>2.0</x:v>
      </x:c>
      <x:c r="J231" s="4">
        <x:v>2.0</x:v>
      </x:c>
      <x:c r="K231" s="4">
        <x:v>0.0</x:v>
      </x:c>
      <x:c r="L231" s="4">
        <x:v>5.0</x:v>
      </x:c>
      <x:c r="M231" s="4">
        <x:v>5.0</x:v>
      </x:c>
    </x:row>
    <x:row r="232" ht="15.75" customHeight="1">
      <x:c r="A232" s="4">
        <x:v>5406.0</x:v>
      </x:c>
      <x:c r="B232" s="4" t="s">
        <x:v>98</x:v>
      </x:c>
      <x:c r="C232" s="4" t="s">
        <x:v>109</x:v>
      </x:c>
      <x:c r="D232" s="4" t="s">
        <x:v>275</x:v>
      </x:c>
      <x:c r="E232" s="4" t="s">
        <x:v>39</x:v>
      </x:c>
      <x:c r="F232" s="4">
        <x:v>2.0</x:v>
      </x:c>
      <x:c r="G232" s="4">
        <x:v>2.0</x:v>
      </x:c>
      <x:c r="H232" s="4">
        <x:v>0.0</x:v>
      </x:c>
      <x:c r="I232" s="4">
        <x:v>2.0</x:v>
      </x:c>
      <x:c r="J232" s="4">
        <x:v>2.0</x:v>
      </x:c>
      <x:c r="K232" s="4">
        <x:v>0.0</x:v>
      </x:c>
      <x:c r="L232" s="4">
        <x:v>4.0</x:v>
      </x:c>
      <x:c r="M232" s="4">
        <x:v>4.0</x:v>
      </x:c>
    </x:row>
    <x:row r="233" ht="15.75" customHeight="1">
      <x:c r="A233" s="4">
        <x:v>7014.0</x:v>
      </x:c>
      <x:c r="B233" s="4" t="s">
        <x:v>98</x:v>
      </x:c>
      <x:c r="C233" s="4" t="s">
        <x:v>133</x:v>
      </x:c>
      <x:c r="D233" s="4" t="s">
        <x:v>276</x:v>
      </x:c>
      <x:c r="E233" s="4" t="s">
        <x:v>35</x:v>
      </x:c>
      <x:c r="F233" s="4">
        <x:v>2.0</x:v>
      </x:c>
      <x:c r="G233" s="4">
        <x:v>2.0</x:v>
      </x:c>
      <x:c r="H233" s="4">
        <x:v>0.0</x:v>
      </x:c>
      <x:c r="I233" s="4">
        <x:v>2.0</x:v>
      </x:c>
      <x:c r="J233" s="4">
        <x:v>2.0</x:v>
      </x:c>
      <x:c r="K233" s="4">
        <x:v>0.0</x:v>
      </x:c>
      <x:c r="L233" s="4">
        <x:v>5.0</x:v>
      </x:c>
      <x:c r="M233" s="4">
        <x:v>6.0</x:v>
      </x:c>
    </x:row>
    <x:row r="234" ht="15.75" customHeight="1">
      <x:c r="A234" s="4">
        <x:v>6977.0</x:v>
      </x:c>
      <x:c r="B234" s="4" t="s">
        <x:v>98</x:v>
      </x:c>
      <x:c r="C234" s="4" t="s">
        <x:v>103</x:v>
      </x:c>
      <x:c r="D234" s="4" t="s">
        <x:v>277</x:v>
      </x:c>
      <x:c r="E234" s="4" t="s">
        <x:v>37</x:v>
      </x:c>
      <x:c r="F234" s="4">
        <x:v>2.0</x:v>
      </x:c>
      <x:c r="G234" s="4">
        <x:v>2.0</x:v>
      </x:c>
      <x:c r="H234" s="4">
        <x:v>0.0</x:v>
      </x:c>
      <x:c r="I234" s="4">
        <x:v>2.0</x:v>
      </x:c>
      <x:c r="J234" s="4">
        <x:v>2.0</x:v>
      </x:c>
      <x:c r="K234" s="4">
        <x:v>0.0</x:v>
      </x:c>
      <x:c r="L234" s="4">
        <x:v>3.0</x:v>
      </x:c>
      <x:c r="M234" s="4">
        <x:v>3.0</x:v>
      </x:c>
    </x:row>
    <x:row r="235" ht="15.75" customHeight="1">
      <x:c r="A235" s="4">
        <x:v>6989.0</x:v>
      </x:c>
      <x:c r="B235" s="4" t="s">
        <x:v>98</x:v>
      </x:c>
      <x:c r="C235" s="4" t="s">
        <x:v>103</x:v>
      </x:c>
      <x:c r="D235" s="4" t="s">
        <x:v>278</x:v>
      </x:c>
      <x:c r="E235" s="4" t="s">
        <x:v>43</x:v>
      </x:c>
      <x:c r="F235" s="4">
        <x:v>2.0</x:v>
      </x:c>
      <x:c r="G235" s="4">
        <x:v>1.0</x:v>
      </x:c>
      <x:c r="H235" s="4">
        <x:v>1.0</x:v>
      </x:c>
      <x:c r="I235" s="4">
        <x:v>2.0</x:v>
      </x:c>
      <x:c r="J235" s="4">
        <x:v>1.0</x:v>
      </x:c>
      <x:c r="K235" s="4">
        <x:v>1.0</x:v>
      </x:c>
      <x:c r="L235" s="4">
        <x:v>12.0</x:v>
      </x:c>
      <x:c r="M235" s="4">
        <x:v>12.0</x:v>
      </x:c>
    </x:row>
    <x:row r="236" ht="15.75" customHeight="1">
      <x:c r="A236" s="4">
        <x:v>6990.0</x:v>
      </x:c>
      <x:c r="B236" s="4" t="s">
        <x:v>98</x:v>
      </x:c>
      <x:c r="C236" s="4" t="s">
        <x:v>109</x:v>
      </x:c>
      <x:c r="D236" s="4" t="s">
        <x:v>279</x:v>
      </x:c>
      <x:c r="E236" s="4" t="s">
        <x:v>43</x:v>
      </x:c>
      <x:c r="F236" s="4">
        <x:v>2.0</x:v>
      </x:c>
      <x:c r="G236" s="4">
        <x:v>1.0</x:v>
      </x:c>
      <x:c r="H236" s="4">
        <x:v>1.0</x:v>
      </x:c>
      <x:c r="I236" s="4">
        <x:v>2.0</x:v>
      </x:c>
      <x:c r="J236" s="4">
        <x:v>1.0</x:v>
      </x:c>
      <x:c r="K236" s="4">
        <x:v>1.0</x:v>
      </x:c>
      <x:c r="L236" s="4">
        <x:v>8.0</x:v>
      </x:c>
      <x:c r="M236" s="4">
        <x:v>8.0</x:v>
      </x:c>
    </x:row>
    <x:row r="237" ht="15.75" customHeight="1">
      <x:c r="A237" s="4">
        <x:v>7156.0</x:v>
      </x:c>
      <x:c r="B237" s="4" t="s">
        <x:v>98</x:v>
      </x:c>
      <x:c r="C237" s="4" t="s">
        <x:v>116</x:v>
      </x:c>
      <x:c r="D237" s="4" t="s">
        <x:v>280</x:v>
      </x:c>
      <x:c r="E237" s="4" t="s">
        <x:v>49</x:v>
      </x:c>
      <x:c r="F237" s="4">
        <x:v>2.0</x:v>
      </x:c>
      <x:c r="G237" s="4">
        <x:v>2.0</x:v>
      </x:c>
      <x:c r="H237" s="4">
        <x:v>0.0</x:v>
      </x:c>
      <x:c r="I237" s="4">
        <x:v>2.0</x:v>
      </x:c>
      <x:c r="J237" s="4">
        <x:v>2.0</x:v>
      </x:c>
      <x:c r="K237" s="4">
        <x:v>0.0</x:v>
      </x:c>
      <x:c r="L237" s="4">
        <x:v>4.0</x:v>
      </x:c>
      <x:c r="M237" s="4">
        <x:v>4.0</x:v>
      </x:c>
    </x:row>
    <x:row r="238" ht="15.75" customHeight="1">
      <x:c r="A238" s="4">
        <x:v>49.0</x:v>
      </x:c>
      <x:c r="B238" s="4" t="s">
        <x:v>98</x:v>
      </x:c>
      <x:c r="C238" s="4" t="s">
        <x:v>127</x:v>
      </x:c>
      <x:c r="D238" s="4" t="s">
        <x:v>281</x:v>
      </x:c>
      <x:c r="E238" s="4" t="s">
        <x:v>41</x:v>
      </x:c>
      <x:c r="F238" s="4">
        <x:v>2.0</x:v>
      </x:c>
      <x:c r="G238" s="4">
        <x:v>3.0</x:v>
      </x:c>
      <x:c r="H238" s="4">
        <x:v>-1.0</x:v>
      </x:c>
      <x:c r="I238" s="4">
        <x:v>3.0</x:v>
      </x:c>
      <x:c r="J238" s="4">
        <x:v>4.0</x:v>
      </x:c>
      <x:c r="K238" s="4">
        <x:v>-1.0</x:v>
      </x:c>
      <x:c r="L238" s="4">
        <x:v>8.0</x:v>
      </x:c>
      <x:c r="M238" s="4">
        <x:v>10.0</x:v>
      </x:c>
    </x:row>
    <x:row r="239" ht="15.75" customHeight="1">
      <x:c r="A239" s="4">
        <x:v>7011.0</x:v>
      </x:c>
      <x:c r="B239" s="4" t="s">
        <x:v>98</x:v>
      </x:c>
      <x:c r="C239" s="4" t="s">
        <x:v>103</x:v>
      </x:c>
      <x:c r="D239" s="4" t="s">
        <x:v>282</x:v>
      </x:c>
      <x:c r="E239" s="4" t="s">
        <x:v>57</x:v>
      </x:c>
      <x:c r="F239" s="4">
        <x:v>2.0</x:v>
      </x:c>
      <x:c r="G239" s="4">
        <x:v>2.0</x:v>
      </x:c>
      <x:c r="H239" s="4">
        <x:v>0.0</x:v>
      </x:c>
      <x:c r="I239" s="4">
        <x:v>2.0</x:v>
      </x:c>
      <x:c r="J239" s="4">
        <x:v>2.0</x:v>
      </x:c>
      <x:c r="K239" s="4">
        <x:v>0.0</x:v>
      </x:c>
      <x:c r="L239" s="4">
        <x:v>5.0</x:v>
      </x:c>
      <x:c r="M239" s="4">
        <x:v>5.0</x:v>
      </x:c>
    </x:row>
    <x:row r="240" ht="15.75" customHeight="1">
      <x:c r="A240" s="4">
        <x:v>6992.0</x:v>
      </x:c>
      <x:c r="B240" s="4" t="s">
        <x:v>98</x:v>
      </x:c>
      <x:c r="C240" s="4" t="s">
        <x:v>139</x:v>
      </x:c>
      <x:c r="D240" s="4" t="s">
        <x:v>283</x:v>
      </x:c>
      <x:c r="E240" s="4" t="s">
        <x:v>57</x:v>
      </x:c>
      <x:c r="F240" s="4">
        <x:v>2.0</x:v>
      </x:c>
      <x:c r="G240" s="4">
        <x:v>2.0</x:v>
      </x:c>
      <x:c r="H240" s="4">
        <x:v>0.0</x:v>
      </x:c>
      <x:c r="I240" s="4">
        <x:v>2.0</x:v>
      </x:c>
      <x:c r="J240" s="4">
        <x:v>2.0</x:v>
      </x:c>
      <x:c r="K240" s="4">
        <x:v>0.0</x:v>
      </x:c>
      <x:c r="L240" s="4">
        <x:v>4.0</x:v>
      </x:c>
      <x:c r="M240" s="4">
        <x:v>5.0</x:v>
      </x:c>
    </x:row>
    <x:row r="241" ht="15.75" customHeight="1">
      <x:c r="A241" s="4">
        <x:v>7196.0</x:v>
      </x:c>
      <x:c r="B241" s="4" t="s">
        <x:v>98</x:v>
      </x:c>
      <x:c r="C241" s="4" t="s">
        <x:v>103</x:v>
      </x:c>
      <x:c r="D241" s="4" t="s">
        <x:v>284</x:v>
      </x:c>
      <x:c r="E241" s="4" t="s">
        <x:v>55</x:v>
      </x:c>
      <x:c r="F241" s="4">
        <x:v>2.0</x:v>
      </x:c>
      <x:c r="G241" s="4">
        <x:v>2.0</x:v>
      </x:c>
      <x:c r="H241" s="4">
        <x:v>0.0</x:v>
      </x:c>
      <x:c r="I241" s="4">
        <x:v>2.0</x:v>
      </x:c>
      <x:c r="J241" s="4">
        <x:v>2.0</x:v>
      </x:c>
      <x:c r="K241" s="4">
        <x:v>0.0</x:v>
      </x:c>
      <x:c r="L241" s="4">
        <x:v>4.0</x:v>
      </x:c>
      <x:c r="M241" s="4">
        <x:v>4.0</x:v>
      </x:c>
    </x:row>
    <x:row r="242" ht="15.75" customHeight="1">
      <x:c r="A242" s="4">
        <x:v>7222.0</x:v>
      </x:c>
      <x:c r="B242" s="4" t="s">
        <x:v>98</x:v>
      </x:c>
      <x:c r="C242" s="4" t="s">
        <x:v>154</x:v>
      </x:c>
      <x:c r="D242" s="4" t="s">
        <x:v>285</x:v>
      </x:c>
      <x:c r="E242" s="4" t="s">
        <x:v>57</x:v>
      </x:c>
      <x:c r="F242" s="4">
        <x:v>2.0</x:v>
      </x:c>
      <x:c r="G242" s="4">
        <x:v>1.0</x:v>
      </x:c>
      <x:c r="H242" s="4">
        <x:v>1.0</x:v>
      </x:c>
      <x:c r="I242" s="4">
        <x:v>2.0</x:v>
      </x:c>
      <x:c r="J242" s="4">
        <x:v>1.0</x:v>
      </x:c>
      <x:c r="K242" s="4">
        <x:v>1.0</x:v>
      </x:c>
      <x:c r="L242" s="4">
        <x:v>1.0</x:v>
      </x:c>
      <x:c r="M242" s="4">
        <x:v>1.0</x:v>
      </x:c>
    </x:row>
    <x:row r="243" ht="15.75" customHeight="1">
      <x:c r="A243" s="4">
        <x:v>7271.0</x:v>
      </x:c>
      <x:c r="B243" s="4" t="s">
        <x:v>98</x:v>
      </x:c>
      <x:c r="C243" s="4" t="s">
        <x:v>103</x:v>
      </x:c>
      <x:c r="D243" s="4" t="s">
        <x:v>286</x:v>
      </x:c>
      <x:c r="E243" s="4" t="s">
        <x:v>21</x:v>
      </x:c>
      <x:c r="F243" s="4">
        <x:v>2.0</x:v>
      </x:c>
      <x:c r="G243" s="4">
        <x:v>2.0</x:v>
      </x:c>
      <x:c r="H243" s="4">
        <x:v>0.0</x:v>
      </x:c>
      <x:c r="I243" s="4">
        <x:v>2.0</x:v>
      </x:c>
      <x:c r="J243" s="4">
        <x:v>2.0</x:v>
      </x:c>
      <x:c r="K243" s="4">
        <x:v>0.0</x:v>
      </x:c>
      <x:c r="L243" s="4">
        <x:v>5.0</x:v>
      </x:c>
      <x:c r="M243" s="4">
        <x:v>5.0</x:v>
      </x:c>
    </x:row>
    <x:row r="244" ht="15.75" customHeight="1">
      <x:c r="A244" s="4">
        <x:v>2847.0</x:v>
      </x:c>
      <x:c r="B244" s="4" t="s">
        <x:v>98</x:v>
      </x:c>
      <x:c r="C244" s="4" t="s">
        <x:v>154</x:v>
      </x:c>
      <x:c r="D244" s="4" t="s">
        <x:v>287</x:v>
      </x:c>
      <x:c r="E244" s="4" t="s">
        <x:v>47</x:v>
      </x:c>
      <x:c r="F244" s="4">
        <x:v>1.0</x:v>
      </x:c>
      <x:c r="G244" s="4">
        <x:v>1.0</x:v>
      </x:c>
      <x:c r="H244" s="4">
        <x:v>0.0</x:v>
      </x:c>
      <x:c r="I244" s="4">
        <x:v>1.0</x:v>
      </x:c>
      <x:c r="J244" s="4">
        <x:v>1.0</x:v>
      </x:c>
      <x:c r="K244" s="4">
        <x:v>0.0</x:v>
      </x:c>
      <x:c r="L244" s="4">
        <x:v>1.0</x:v>
      </x:c>
      <x:c r="M244" s="4">
        <x:v>1.0</x:v>
      </x:c>
    </x:row>
    <x:row r="245" ht="15.75" customHeight="1">
      <x:c r="A245" s="4">
        <x:v>6803.0</x:v>
      </x:c>
      <x:c r="B245" s="4" t="s">
        <x:v>98</x:v>
      </x:c>
      <x:c r="C245" s="4" t="s">
        <x:v>116</x:v>
      </x:c>
      <x:c r="D245" s="4" t="s">
        <x:v>288</x:v>
      </x:c>
      <x:c r="E245" s="4" t="s">
        <x:v>17</x:v>
      </x:c>
      <x:c r="F245" s="4">
        <x:v>1.0</x:v>
      </x:c>
      <x:c r="G245" s="4">
        <x:v>1.0</x:v>
      </x:c>
      <x:c r="H245" s="4">
        <x:v>0.0</x:v>
      </x:c>
      <x:c r="I245" s="4">
        <x:v>1.0</x:v>
      </x:c>
      <x:c r="J245" s="4">
        <x:v>1.0</x:v>
      </x:c>
      <x:c r="K245" s="4">
        <x:v>0.0</x:v>
      </x:c>
      <x:c r="L245" s="4">
        <x:v>4.0</x:v>
      </x:c>
      <x:c r="M245" s="4">
        <x:v>4.0</x:v>
      </x:c>
    </x:row>
    <x:row r="246" ht="15.75" customHeight="1">
      <x:c r="A246" s="4">
        <x:v>7164.0</x:v>
      </x:c>
      <x:c r="B246" s="4" t="s">
        <x:v>98</x:v>
      </x:c>
      <x:c r="C246" s="4" t="s">
        <x:v>133</x:v>
      </x:c>
      <x:c r="D246" s="4" t="s">
        <x:v>289</x:v>
      </x:c>
      <x:c r="E246" s="4" t="s">
        <x:v>43</x:v>
      </x:c>
      <x:c r="F246" s="4">
        <x:v>1.0</x:v>
      </x:c>
      <x:c r="G246" s="4">
        <x:v>1.0</x:v>
      </x:c>
      <x:c r="H246" s="4">
        <x:v>0.0</x:v>
      </x:c>
      <x:c r="I246" s="4">
        <x:v>1.0</x:v>
      </x:c>
      <x:c r="J246" s="4">
        <x:v>1.0</x:v>
      </x:c>
      <x:c r="K246" s="4">
        <x:v>0.0</x:v>
      </x:c>
      <x:c r="L246" s="4">
        <x:v>1.0</x:v>
      </x:c>
      <x:c r="M246" s="4">
        <x:v>1.0</x:v>
      </x:c>
    </x:row>
    <x:row r="247" ht="15.75" customHeight="1">
      <x:c r="A247" s="4">
        <x:v>7182.0</x:v>
      </x:c>
      <x:c r="B247" s="4" t="s">
        <x:v>98</x:v>
      </x:c>
      <x:c r="C247" s="4" t="s">
        <x:v>116</x:v>
      </x:c>
      <x:c r="D247" s="4" t="s">
        <x:v>290</x:v>
      </x:c>
      <x:c r="E247" s="4" t="s">
        <x:v>43</x:v>
      </x:c>
      <x:c r="F247" s="4">
        <x:v>1.0</x:v>
      </x:c>
      <x:c r="G247" s="4">
        <x:v>1.0</x:v>
      </x:c>
      <x:c r="H247" s="4">
        <x:v>0.0</x:v>
      </x:c>
      <x:c r="I247" s="4">
        <x:v>1.0</x:v>
      </x:c>
      <x:c r="J247" s="4">
        <x:v>1.0</x:v>
      </x:c>
      <x:c r="K247" s="4">
        <x:v>0.0</x:v>
      </x:c>
      <x:c r="L247" s="4">
        <x:v>2.0</x:v>
      </x:c>
      <x:c r="M247" s="4">
        <x:v>2.0</x:v>
      </x:c>
    </x:row>
    <x:row r="248" ht="15.75" customHeight="1">
      <x:c r="A248" s="4">
        <x:v>7140.0</x:v>
      </x:c>
      <x:c r="B248" s="4" t="s">
        <x:v>98</x:v>
      </x:c>
      <x:c r="C248" s="4" t="s">
        <x:v>103</x:v>
      </x:c>
      <x:c r="D248" s="4" t="s">
        <x:v>291</x:v>
      </x:c>
      <x:c r="E248" s="4" t="s">
        <x:v>55</x:v>
      </x:c>
      <x:c r="F248" s="4">
        <x:v>1.0</x:v>
      </x:c>
      <x:c r="G248" s="4">
        <x:v>1.0</x:v>
      </x:c>
      <x:c r="H248" s="4">
        <x:v>0.0</x:v>
      </x:c>
      <x:c r="I248" s="4">
        <x:v>1.0</x:v>
      </x:c>
      <x:c r="J248" s="4">
        <x:v>1.0</x:v>
      </x:c>
      <x:c r="K248" s="4">
        <x:v>0.0</x:v>
      </x:c>
      <x:c r="L248" s="4">
        <x:v>4.0</x:v>
      </x:c>
      <x:c r="M248" s="4">
        <x:v>4.0</x:v>
      </x:c>
    </x:row>
    <x:row r="249" ht="15.75" customHeight="1">
      <x:c r="A249" s="4">
        <x:v>7170.0</x:v>
      </x:c>
      <x:c r="B249" s="4" t="s">
        <x:v>98</x:v>
      </x:c>
      <x:c r="C249" s="4" t="s">
        <x:v>103</x:v>
      </x:c>
      <x:c r="D249" s="4" t="s">
        <x:v>292</x:v>
      </x:c>
      <x:c r="E249" s="4" t="s">
        <x:v>55</x:v>
      </x:c>
      <x:c r="F249" s="4">
        <x:v>1.0</x:v>
      </x:c>
      <x:c r="G249" s="4">
        <x:v>1.0</x:v>
      </x:c>
      <x:c r="H249" s="4">
        <x:v>0.0</x:v>
      </x:c>
      <x:c r="I249" s="4">
        <x:v>1.0</x:v>
      </x:c>
      <x:c r="J249" s="4">
        <x:v>1.0</x:v>
      </x:c>
      <x:c r="K249" s="4">
        <x:v>0.0</x:v>
      </x:c>
      <x:c r="L249" s="4">
        <x:v>2.0</x:v>
      </x:c>
      <x:c r="M249" s="4">
        <x:v>2.0</x:v>
      </x:c>
    </x:row>
    <x:row r="250" ht="15.75" customHeight="1">
      <x:c r="A250" s="4">
        <x:v>7142.0</x:v>
      </x:c>
      <x:c r="B250" s="4" t="s">
        <x:v>98</x:v>
      </x:c>
      <x:c r="C250" s="4" t="s">
        <x:v>109</x:v>
      </x:c>
      <x:c r="D250" s="4" t="s">
        <x:v>293</x:v>
      </x:c>
      <x:c r="E250" s="4" t="s">
        <x:v>55</x:v>
      </x:c>
      <x:c r="F250" s="4">
        <x:v>1.0</x:v>
      </x:c>
      <x:c r="G250" s="4">
        <x:v>1.0</x:v>
      </x:c>
      <x:c r="H250" s="4">
        <x:v>0.0</x:v>
      </x:c>
      <x:c r="I250" s="4">
        <x:v>1.0</x:v>
      </x:c>
      <x:c r="J250" s="4">
        <x:v>1.0</x:v>
      </x:c>
      <x:c r="K250" s="4">
        <x:v>0.0</x:v>
      </x:c>
      <x:c r="L250" s="4">
        <x:v>2.0</x:v>
      </x:c>
      <x:c r="M250" s="4">
        <x:v>2.0</x:v>
      </x:c>
    </x:row>
    <x:row r="251" ht="15.75" customHeight="1">
      <x:c r="A251" s="4">
        <x:v>6431.0</x:v>
      </x:c>
      <x:c r="B251" s="4" t="s">
        <x:v>98</x:v>
      </x:c>
      <x:c r="C251" s="4" t="s">
        <x:v>109</x:v>
      </x:c>
      <x:c r="D251" s="4" t="s">
        <x:v>294</x:v>
      </x:c>
      <x:c r="E251" s="4" t="s">
        <x:v>49</x:v>
      </x:c>
      <x:c r="F251" s="4">
        <x:v>1.0</x:v>
      </x:c>
      <x:c r="G251" s="4">
        <x:v>1.0</x:v>
      </x:c>
      <x:c r="H251" s="4">
        <x:v>0.0</x:v>
      </x:c>
      <x:c r="I251" s="4">
        <x:v>1.0</x:v>
      </x:c>
      <x:c r="J251" s="4">
        <x:v>1.0</x:v>
      </x:c>
      <x:c r="K251" s="4">
        <x:v>0.0</x:v>
      </x:c>
      <x:c r="L251" s="4">
        <x:v>5.0</x:v>
      </x:c>
      <x:c r="M251" s="4">
        <x:v>5.0</x:v>
      </x:c>
    </x:row>
    <x:row r="252" ht="15.75" customHeight="1">
      <x:c r="A252" s="4">
        <x:v>6826.0</x:v>
      </x:c>
      <x:c r="B252" s="4" t="s">
        <x:v>98</x:v>
      </x:c>
      <x:c r="C252" s="4" t="s">
        <x:v>109</x:v>
      </x:c>
      <x:c r="D252" s="4" t="s">
        <x:v>295</x:v>
      </x:c>
      <x:c r="E252" s="4" t="s">
        <x:v>41</x:v>
      </x:c>
      <x:c r="F252" s="4">
        <x:v>1.0</x:v>
      </x:c>
      <x:c r="G252" s="4">
        <x:v>1.0</x:v>
      </x:c>
      <x:c r="H252" s="4">
        <x:v>0.0</x:v>
      </x:c>
      <x:c r="I252" s="4">
        <x:v>1.0</x:v>
      </x:c>
      <x:c r="J252" s="4">
        <x:v>1.0</x:v>
      </x:c>
      <x:c r="K252" s="4">
        <x:v>0.0</x:v>
      </x:c>
      <x:c r="L252" s="4">
        <x:v>3.0</x:v>
      </x:c>
      <x:c r="M252" s="4">
        <x:v>3.0</x:v>
      </x:c>
    </x:row>
    <x:row r="253" ht="15.75" customHeight="1">
      <x:c r="A253" s="4">
        <x:v>6925.0</x:v>
      </x:c>
      <x:c r="B253" s="4" t="s">
        <x:v>98</x:v>
      </x:c>
      <x:c r="C253" s="4" t="s">
        <x:v>103</x:v>
      </x:c>
      <x:c r="D253" s="4" t="s">
        <x:v>296</x:v>
      </x:c>
      <x:c r="E253" s="4" t="s">
        <x:v>51</x:v>
      </x:c>
      <x:c r="F253" s="4">
        <x:v>1.0</x:v>
      </x:c>
      <x:c r="G253" s="4">
        <x:v>1.0</x:v>
      </x:c>
      <x:c r="H253" s="4">
        <x:v>0.0</x:v>
      </x:c>
      <x:c r="I253" s="4">
        <x:v>1.0</x:v>
      </x:c>
      <x:c r="J253" s="4">
        <x:v>1.0</x:v>
      </x:c>
      <x:c r="K253" s="4">
        <x:v>0.0</x:v>
      </x:c>
      <x:c r="L253" s="4">
        <x:v>7.0</x:v>
      </x:c>
      <x:c r="M253" s="4">
        <x:v>7.0</x:v>
      </x:c>
    </x:row>
    <x:row r="254" ht="15.75" customHeight="1">
      <x:c r="A254" s="4">
        <x:v>7238.0</x:v>
      </x:c>
      <x:c r="B254" s="4" t="s">
        <x:v>98</x:v>
      </x:c>
      <x:c r="C254" s="4" t="s">
        <x:v>103</x:v>
      </x:c>
      <x:c r="D254" s="4" t="s">
        <x:v>297</x:v>
      </x:c>
      <x:c r="E254" s="4" t="s">
        <x:v>29</x:v>
      </x:c>
      <x:c r="F254" s="4">
        <x:v>1.0</x:v>
      </x:c>
      <x:c r="G254" s="4">
        <x:v>1.0</x:v>
      </x:c>
      <x:c r="H254" s="4">
        <x:v>0.0</x:v>
      </x:c>
      <x:c r="I254" s="4">
        <x:v>1.0</x:v>
      </x:c>
      <x:c r="J254" s="4">
        <x:v>1.0</x:v>
      </x:c>
      <x:c r="K254" s="4">
        <x:v>0.0</x:v>
      </x:c>
      <x:c r="L254" s="4">
        <x:v>1.0</x:v>
      </x:c>
      <x:c r="M254" s="4">
        <x:v>1.0</x:v>
      </x:c>
    </x:row>
    <x:row r="255" ht="15.75" customHeight="1">
      <x:c r="A255" s="4">
        <x:v>7255.0</x:v>
      </x:c>
      <x:c r="B255" s="4" t="s">
        <x:v>98</x:v>
      </x:c>
      <x:c r="C255" s="4" t="s">
        <x:v>154</x:v>
      </x:c>
      <x:c r="D255" s="4" t="s">
        <x:v>298</x:v>
      </x:c>
      <x:c r="E255" s="4" t="s">
        <x:v>45</x:v>
      </x:c>
      <x:c r="F255" s="4">
        <x:v>1.0</x:v>
      </x:c>
      <x:c r="G255" s="4">
        <x:v>1.0</x:v>
      </x:c>
      <x:c r="H255" s="4">
        <x:v>0.0</x:v>
      </x:c>
      <x:c r="I255" s="4">
        <x:v>1.0</x:v>
      </x:c>
      <x:c r="J255" s="4">
        <x:v>1.0</x:v>
      </x:c>
      <x:c r="K255" s="4">
        <x:v>0.0</x:v>
      </x:c>
      <x:c r="L255" s="4">
        <x:v>2.0</x:v>
      </x:c>
      <x:c r="M255" s="4">
        <x:v>2.0</x:v>
      </x:c>
    </x:row>
    <x:row r="256" ht="15.75" customHeight="1">
      <x:c r="A256" s="4">
        <x:v>7268.0</x:v>
      </x:c>
      <x:c r="B256" s="4" t="s">
        <x:v>98</x:v>
      </x:c>
      <x:c r="C256" s="4" t="s">
        <x:v>124</x:v>
      </x:c>
      <x:c r="D256" s="4" t="s">
        <x:v>299</x:v>
      </x:c>
      <x:c r="E256" s="4" t="s">
        <x:v>39</x:v>
      </x:c>
      <x:c r="F256" s="4">
        <x:v>1.0</x:v>
      </x:c>
      <x:c r="G256" s="4">
        <x:v>1.0</x:v>
      </x:c>
      <x:c r="H256" s="4">
        <x:v>0.0</x:v>
      </x:c>
      <x:c r="I256" s="4">
        <x:v>1.0</x:v>
      </x:c>
      <x:c r="J256" s="4">
        <x:v>1.0</x:v>
      </x:c>
      <x:c r="K256" s="4">
        <x:v>0.0</x:v>
      </x:c>
      <x:c r="L256" s="4">
        <x:v>1.0</x:v>
      </x:c>
      <x:c r="M256" s="4">
        <x:v>1.0</x:v>
      </x:c>
    </x:row>
    <x:row r="257" ht="15.75" customHeight="1">
      <x:c r="A257" s="4">
        <x:v>6874.0</x:v>
      </x:c>
      <x:c r="B257" s="4" t="s">
        <x:v>98</x:v>
      </x:c>
      <x:c r="C257" s="4" t="s">
        <x:v>103</x:v>
      </x:c>
      <x:c r="D257" s="4" t="s">
        <x:v>300</x:v>
      </x:c>
      <x:c r="E257" s="4" t="s">
        <x:v>19</x:v>
      </x:c>
      <x:c r="F257" s="4">
        <x:v>1.0</x:v>
      </x:c>
      <x:c r="G257" s="4">
        <x:v>1.0</x:v>
      </x:c>
      <x:c r="H257" s="4">
        <x:v>0.0</x:v>
      </x:c>
      <x:c r="I257" s="4">
        <x:v>1.0</x:v>
      </x:c>
      <x:c r="J257" s="4">
        <x:v>1.0</x:v>
      </x:c>
      <x:c r="K257" s="4">
        <x:v>0.0</x:v>
      </x:c>
      <x:c r="L257" s="4">
        <x:v>1.0</x:v>
      </x:c>
      <x:c r="M257" s="4">
        <x:v>1.0</x:v>
      </x:c>
    </x:row>
    <x:row r="258" ht="15.75" customHeight="1">
      <x:c r="A258" s="4">
        <x:v>2167.0</x:v>
      </x:c>
      <x:c r="B258" s="4" t="s">
        <x:v>301</x:v>
      </x:c>
      <x:c r="C258" s="4" t="s">
        <x:v>302</x:v>
      </x:c>
      <x:c r="D258" s="4" t="s">
        <x:v>303</x:v>
      </x:c>
      <x:c r="E258" s="4" t="s">
        <x:v>33</x:v>
      </x:c>
      <x:c r="F258" s="4">
        <x:v>30.0</x:v>
      </x:c>
      <x:c r="G258" s="4">
        <x:v>30.0</x:v>
      </x:c>
      <x:c r="H258" s="4">
        <x:v>0.0</x:v>
      </x:c>
      <x:c r="I258" s="4">
        <x:v>29.0</x:v>
      </x:c>
      <x:c r="J258" s="4">
        <x:v>29.0</x:v>
      </x:c>
      <x:c r="K258" s="4">
        <x:v>0.0</x:v>
      </x:c>
      <x:c r="L258" s="4">
        <x:v>218.0</x:v>
      </x:c>
      <x:c r="M258" s="4">
        <x:v>218.0</x:v>
      </x:c>
    </x:row>
    <x:row r="259" ht="15.75" customHeight="1">
      <x:c r="A259" s="4">
        <x:v>2423.0</x:v>
      </x:c>
      <x:c r="B259" s="4" t="s">
        <x:v>301</x:v>
      </x:c>
      <x:c r="C259" s="4" t="s">
        <x:v>304</x:v>
      </x:c>
      <x:c r="D259" s="4" t="s">
        <x:v>305</x:v>
      </x:c>
      <x:c r="E259" s="4" t="s">
        <x:v>21</x:v>
      </x:c>
      <x:c r="F259" s="4">
        <x:v>28.0</x:v>
      </x:c>
      <x:c r="G259" s="4">
        <x:v>28.0</x:v>
      </x:c>
      <x:c r="H259" s="4">
        <x:v>0.0</x:v>
      </x:c>
      <x:c r="I259" s="4">
        <x:v>28.0</x:v>
      </x:c>
      <x:c r="J259" s="4">
        <x:v>28.0</x:v>
      </x:c>
      <x:c r="K259" s="4">
        <x:v>0.0</x:v>
      </x:c>
      <x:c r="L259" s="4">
        <x:v>218.0</x:v>
      </x:c>
      <x:c r="M259" s="4">
        <x:v>218.0</x:v>
      </x:c>
    </x:row>
    <x:row r="260" ht="15.75" customHeight="1">
      <x:c r="A260" s="4">
        <x:v>632.0</x:v>
      </x:c>
      <x:c r="B260" s="4" t="s">
        <x:v>301</x:v>
      </x:c>
      <x:c r="C260" s="4" t="s">
        <x:v>302</x:v>
      </x:c>
      <x:c r="D260" s="4" t="s">
        <x:v>306</x:v>
      </x:c>
      <x:c r="E260" s="4" t="s">
        <x:v>31</x:v>
      </x:c>
      <x:c r="F260" s="4">
        <x:v>26.0</x:v>
      </x:c>
      <x:c r="G260" s="4">
        <x:v>26.0</x:v>
      </x:c>
      <x:c r="H260" s="4">
        <x:v>0.0</x:v>
      </x:c>
      <x:c r="I260" s="4">
        <x:v>25.0</x:v>
      </x:c>
      <x:c r="J260" s="4">
        <x:v>25.0</x:v>
      </x:c>
      <x:c r="K260" s="4">
        <x:v>0.0</x:v>
      </x:c>
      <x:c r="L260" s="4">
        <x:v>206.0</x:v>
      </x:c>
      <x:c r="M260" s="4">
        <x:v>206.0</x:v>
      </x:c>
    </x:row>
    <x:row r="261" ht="15.75" customHeight="1">
      <x:c r="A261" s="4">
        <x:v>4777.0</x:v>
      </x:c>
      <x:c r="B261" s="4" t="s">
        <x:v>301</x:v>
      </x:c>
      <x:c r="C261" s="4" t="s">
        <x:v>307</x:v>
      </x:c>
      <x:c r="D261" s="4" t="s">
        <x:v>308</x:v>
      </x:c>
      <x:c r="E261" s="4" t="s">
        <x:v>23</x:v>
      </x:c>
      <x:c r="F261" s="4">
        <x:v>26.0</x:v>
      </x:c>
      <x:c r="G261" s="4">
        <x:v>26.0</x:v>
      </x:c>
      <x:c r="H261" s="4">
        <x:v>0.0</x:v>
      </x:c>
      <x:c r="I261" s="4">
        <x:v>26.0</x:v>
      </x:c>
      <x:c r="J261" s="4">
        <x:v>26.0</x:v>
      </x:c>
      <x:c r="K261" s="4">
        <x:v>0.0</x:v>
      </x:c>
      <x:c r="L261" s="4">
        <x:v>208.0</x:v>
      </x:c>
      <x:c r="M261" s="4">
        <x:v>208.0</x:v>
      </x:c>
    </x:row>
    <x:row r="262" ht="15.75" customHeight="1">
      <x:c r="A262" s="4">
        <x:v>5800.0</x:v>
      </x:c>
      <x:c r="B262" s="4" t="s">
        <x:v>301</x:v>
      </x:c>
      <x:c r="C262" s="4" t="s">
        <x:v>304</x:v>
      </x:c>
      <x:c r="D262" s="4" t="s">
        <x:v>309</x:v>
      </x:c>
      <x:c r="E262" s="4" t="s">
        <x:v>29</x:v>
      </x:c>
      <x:c r="F262" s="4">
        <x:v>24.0</x:v>
      </x:c>
      <x:c r="G262" s="4">
        <x:v>24.0</x:v>
      </x:c>
      <x:c r="H262" s="4">
        <x:v>0.0</x:v>
      </x:c>
      <x:c r="I262" s="4">
        <x:v>23.0</x:v>
      </x:c>
      <x:c r="J262" s="4">
        <x:v>23.0</x:v>
      </x:c>
      <x:c r="K262" s="4">
        <x:v>0.0</x:v>
      </x:c>
      <x:c r="L262" s="4">
        <x:v>156.0</x:v>
      </x:c>
      <x:c r="M262" s="4">
        <x:v>156.0</x:v>
      </x:c>
    </x:row>
    <x:row r="263" ht="15.75" customHeight="1">
      <x:c r="A263" s="4">
        <x:v>2517.0</x:v>
      </x:c>
      <x:c r="B263" s="4" t="s">
        <x:v>301</x:v>
      </x:c>
      <x:c r="C263" s="4" t="s">
        <x:v>310</x:v>
      </x:c>
      <x:c r="D263" s="4" t="s">
        <x:v>311</x:v>
      </x:c>
      <x:c r="E263" s="4" t="s">
        <x:v>23</x:v>
      </x:c>
      <x:c r="F263" s="4">
        <x:v>23.0</x:v>
      </x:c>
      <x:c r="G263" s="4">
        <x:v>23.0</x:v>
      </x:c>
      <x:c r="H263" s="4">
        <x:v>0.0</x:v>
      </x:c>
      <x:c r="I263" s="4">
        <x:v>22.0</x:v>
      </x:c>
      <x:c r="J263" s="4">
        <x:v>22.0</x:v>
      </x:c>
      <x:c r="K263" s="4">
        <x:v>0.0</x:v>
      </x:c>
      <x:c r="L263" s="4">
        <x:v>139.0</x:v>
      </x:c>
      <x:c r="M263" s="4">
        <x:v>139.0</x:v>
      </x:c>
    </x:row>
    <x:row r="264" ht="15.75" customHeight="1">
      <x:c r="A264" s="4">
        <x:v>2379.0</x:v>
      </x:c>
      <x:c r="B264" s="4" t="s">
        <x:v>301</x:v>
      </x:c>
      <x:c r="C264" s="4" t="s">
        <x:v>307</x:v>
      </x:c>
      <x:c r="D264" s="4" t="s">
        <x:v>312</x:v>
      </x:c>
      <x:c r="E264" s="4" t="s">
        <x:v>21</x:v>
      </x:c>
      <x:c r="F264" s="4">
        <x:v>23.0</x:v>
      </x:c>
      <x:c r="G264" s="4">
        <x:v>23.0</x:v>
      </x:c>
      <x:c r="H264" s="4">
        <x:v>0.0</x:v>
      </x:c>
      <x:c r="I264" s="4">
        <x:v>23.0</x:v>
      </x:c>
      <x:c r="J264" s="4">
        <x:v>23.0</x:v>
      </x:c>
      <x:c r="K264" s="4">
        <x:v>0.0</x:v>
      </x:c>
      <x:c r="L264" s="4">
        <x:v>145.0</x:v>
      </x:c>
      <x:c r="M264" s="4">
        <x:v>145.0</x:v>
      </x:c>
    </x:row>
    <x:row r="265" ht="15.75" customHeight="1">
      <x:c r="A265" s="4">
        <x:v>2194.0</x:v>
      </x:c>
      <x:c r="B265" s="4" t="s">
        <x:v>301</x:v>
      </x:c>
      <x:c r="C265" s="4" t="s">
        <x:v>313</x:v>
      </x:c>
      <x:c r="D265" s="4" t="s">
        <x:v>314</x:v>
      </x:c>
      <x:c r="E265" s="4" t="s">
        <x:v>19</x:v>
      </x:c>
      <x:c r="F265" s="4">
        <x:v>22.0</x:v>
      </x:c>
      <x:c r="G265" s="4">
        <x:v>23.0</x:v>
      </x:c>
      <x:c r="H265" s="4">
        <x:v>-1.0</x:v>
      </x:c>
      <x:c r="I265" s="4">
        <x:v>23.0</x:v>
      </x:c>
      <x:c r="J265" s="4">
        <x:v>24.0</x:v>
      </x:c>
      <x:c r="K265" s="4">
        <x:v>-1.0</x:v>
      </x:c>
      <x:c r="L265" s="4">
        <x:v>143.0</x:v>
      </x:c>
      <x:c r="M265" s="4">
        <x:v>153.0</x:v>
      </x:c>
    </x:row>
    <x:row r="266" ht="15.75" customHeight="1">
      <x:c r="A266" s="4">
        <x:v>6875.0</x:v>
      </x:c>
      <x:c r="B266" s="4" t="s">
        <x:v>301</x:v>
      </x:c>
      <x:c r="C266" s="4" t="s">
        <x:v>304</x:v>
      </x:c>
      <x:c r="D266" s="4" t="s">
        <x:v>315</x:v>
      </x:c>
      <x:c r="E266" s="4" t="s">
        <x:v>35</x:v>
      </x:c>
      <x:c r="F266" s="4">
        <x:v>21.0</x:v>
      </x:c>
      <x:c r="G266" s="4">
        <x:v>20.0</x:v>
      </x:c>
      <x:c r="H266" s="4">
        <x:v>1.0</x:v>
      </x:c>
      <x:c r="I266" s="4">
        <x:v>21.0</x:v>
      </x:c>
      <x:c r="J266" s="4">
        <x:v>20.0</x:v>
      </x:c>
      <x:c r="K266" s="4">
        <x:v>1.0</x:v>
      </x:c>
      <x:c r="L266" s="4">
        <x:v>132.0</x:v>
      </x:c>
      <x:c r="M266" s="4">
        <x:v>132.0</x:v>
      </x:c>
    </x:row>
    <x:row r="267" ht="15.75" customHeight="1">
      <x:c r="A267" s="4">
        <x:v>5761.0</x:v>
      </x:c>
      <x:c r="B267" s="4" t="s">
        <x:v>301</x:v>
      </x:c>
      <x:c r="C267" s="4" t="s">
        <x:v>316</x:v>
      </x:c>
      <x:c r="D267" s="4" t="s">
        <x:v>317</x:v>
      </x:c>
      <x:c r="E267" s="4" t="s">
        <x:v>17</x:v>
      </x:c>
      <x:c r="F267" s="4">
        <x:v>19.0</x:v>
      </x:c>
      <x:c r="G267" s="4">
        <x:v>19.0</x:v>
      </x:c>
      <x:c r="H267" s="4">
        <x:v>0.0</x:v>
      </x:c>
      <x:c r="I267" s="4">
        <x:v>19.0</x:v>
      </x:c>
      <x:c r="J267" s="4">
        <x:v>19.0</x:v>
      </x:c>
      <x:c r="K267" s="4">
        <x:v>0.0</x:v>
      </x:c>
      <x:c r="L267" s="4">
        <x:v>80.0</x:v>
      </x:c>
      <x:c r="M267" s="4">
        <x:v>80.0</x:v>
      </x:c>
    </x:row>
    <x:row r="268" ht="15.75" customHeight="1">
      <x:c r="A268" s="4">
        <x:v>6884.0</x:v>
      </x:c>
      <x:c r="B268" s="4" t="s">
        <x:v>301</x:v>
      </x:c>
      <x:c r="C268" s="4" t="s">
        <x:v>302</x:v>
      </x:c>
      <x:c r="D268" s="4" t="s">
        <x:v>318</x:v>
      </x:c>
      <x:c r="E268" s="4" t="s">
        <x:v>17</x:v>
      </x:c>
      <x:c r="F268" s="4">
        <x:v>18.0</x:v>
      </x:c>
      <x:c r="G268" s="4">
        <x:v>18.0</x:v>
      </x:c>
      <x:c r="H268" s="4">
        <x:v>0.0</x:v>
      </x:c>
      <x:c r="I268" s="4">
        <x:v>17.0</x:v>
      </x:c>
      <x:c r="J268" s="4">
        <x:v>17.0</x:v>
      </x:c>
      <x:c r="K268" s="4">
        <x:v>0.0</x:v>
      </x:c>
      <x:c r="L268" s="4">
        <x:v>81.0</x:v>
      </x:c>
      <x:c r="M268" s="4">
        <x:v>81.0</x:v>
      </x:c>
    </x:row>
    <x:row r="269" ht="15.75" customHeight="1">
      <x:c r="A269" s="4">
        <x:v>5562.0</x:v>
      </x:c>
      <x:c r="B269" s="4" t="s">
        <x:v>301</x:v>
      </x:c>
      <x:c r="C269" s="4" t="s">
        <x:v>313</x:v>
      </x:c>
      <x:c r="D269" s="4" t="s">
        <x:v>319</x:v>
      </x:c>
      <x:c r="E269" s="4" t="s">
        <x:v>17</x:v>
      </x:c>
      <x:c r="F269" s="4">
        <x:v>16.0</x:v>
      </x:c>
      <x:c r="G269" s="4">
        <x:v>16.0</x:v>
      </x:c>
      <x:c r="H269" s="4">
        <x:v>0.0</x:v>
      </x:c>
      <x:c r="I269" s="4">
        <x:v>17.0</x:v>
      </x:c>
      <x:c r="J269" s="4">
        <x:v>17.0</x:v>
      </x:c>
      <x:c r="K269" s="4">
        <x:v>0.0</x:v>
      </x:c>
      <x:c r="L269" s="4">
        <x:v>57.0</x:v>
      </x:c>
      <x:c r="M269" s="4">
        <x:v>67.0</x:v>
      </x:c>
    </x:row>
    <x:row r="270" ht="15.75" customHeight="1">
      <x:c r="A270" s="4">
        <x:v>4220.0</x:v>
      </x:c>
      <x:c r="B270" s="4" t="s">
        <x:v>301</x:v>
      </x:c>
      <x:c r="C270" s="4" t="s">
        <x:v>313</x:v>
      </x:c>
      <x:c r="D270" s="4" t="s">
        <x:v>320</x:v>
      </x:c>
      <x:c r="E270" s="4" t="s">
        <x:v>23</x:v>
      </x:c>
      <x:c r="F270" s="4">
        <x:v>16.0</x:v>
      </x:c>
      <x:c r="G270" s="4">
        <x:v>15.0</x:v>
      </x:c>
      <x:c r="H270" s="4">
        <x:v>1.0</x:v>
      </x:c>
      <x:c r="I270" s="4">
        <x:v>17.0</x:v>
      </x:c>
      <x:c r="J270" s="4">
        <x:v>16.0</x:v>
      </x:c>
      <x:c r="K270" s="4">
        <x:v>1.0</x:v>
      </x:c>
      <x:c r="L270" s="4">
        <x:v>63.0</x:v>
      </x:c>
      <x:c r="M270" s="4">
        <x:v>73.0</x:v>
      </x:c>
    </x:row>
    <x:row r="271" ht="15.75" customHeight="1">
      <x:c r="A271" s="4">
        <x:v>536.0</x:v>
      </x:c>
      <x:c r="B271" s="4" t="s">
        <x:v>301</x:v>
      </x:c>
      <x:c r="C271" s="4" t="s">
        <x:v>316</x:v>
      </x:c>
      <x:c r="D271" s="4" t="s">
        <x:v>321</x:v>
      </x:c>
      <x:c r="E271" s="4" t="s">
        <x:v>23</x:v>
      </x:c>
      <x:c r="F271" s="4">
        <x:v>16.0</x:v>
      </x:c>
      <x:c r="G271" s="4">
        <x:v>15.0</x:v>
      </x:c>
      <x:c r="H271" s="4">
        <x:v>1.0</x:v>
      </x:c>
      <x:c r="I271" s="4">
        <x:v>15.0</x:v>
      </x:c>
      <x:c r="J271" s="4">
        <x:v>14.0</x:v>
      </x:c>
      <x:c r="K271" s="4">
        <x:v>1.0</x:v>
      </x:c>
      <x:c r="L271" s="4">
        <x:v>65.0</x:v>
      </x:c>
      <x:c r="M271" s="4">
        <x:v>65.0</x:v>
      </x:c>
    </x:row>
    <x:row r="272" ht="15.75" customHeight="1">
      <x:c r="A272" s="4">
        <x:v>2765.0</x:v>
      </x:c>
      <x:c r="B272" s="4" t="s">
        <x:v>301</x:v>
      </x:c>
      <x:c r="C272" s="4" t="s">
        <x:v>304</x:v>
      </x:c>
      <x:c r="D272" s="4" t="s">
        <x:v>322</x:v>
      </x:c>
      <x:c r="E272" s="4" t="s">
        <x:v>33</x:v>
      </x:c>
      <x:c r="F272" s="4">
        <x:v>15.0</x:v>
      </x:c>
      <x:c r="G272" s="4">
        <x:v>16.0</x:v>
      </x:c>
      <x:c r="H272" s="4">
        <x:v>-1.0</x:v>
      </x:c>
      <x:c r="I272" s="4">
        <x:v>14.0</x:v>
      </x:c>
      <x:c r="J272" s="4">
        <x:v>15.0</x:v>
      </x:c>
      <x:c r="K272" s="4">
        <x:v>-1.0</x:v>
      </x:c>
      <x:c r="L272" s="4">
        <x:v>67.0</x:v>
      </x:c>
      <x:c r="M272" s="4">
        <x:v>67.0</x:v>
      </x:c>
    </x:row>
    <x:row r="273" ht="15.75" customHeight="1">
      <x:c r="A273" s="4">
        <x:v>1933.0</x:v>
      </x:c>
      <x:c r="B273" s="4" t="s">
        <x:v>301</x:v>
      </x:c>
      <x:c r="C273" s="4" t="s">
        <x:v>313</x:v>
      </x:c>
      <x:c r="D273" s="4" t="s">
        <x:v>323</x:v>
      </x:c>
      <x:c r="E273" s="4" t="s">
        <x:v>29</x:v>
      </x:c>
      <x:c r="F273" s="4">
        <x:v>15.0</x:v>
      </x:c>
      <x:c r="G273" s="4">
        <x:v>14.0</x:v>
      </x:c>
      <x:c r="H273" s="4">
        <x:v>1.0</x:v>
      </x:c>
      <x:c r="I273" s="4">
        <x:v>15.0</x:v>
      </x:c>
      <x:c r="J273" s="4">
        <x:v>14.0</x:v>
      </x:c>
      <x:c r="K273" s="4">
        <x:v>1.0</x:v>
      </x:c>
      <x:c r="L273" s="4">
        <x:v>30.0</x:v>
      </x:c>
      <x:c r="M273" s="4">
        <x:v>35.0</x:v>
      </x:c>
    </x:row>
    <x:row r="274" ht="15.75" customHeight="1">
      <x:c r="A274" s="4">
        <x:v>2670.0</x:v>
      </x:c>
      <x:c r="B274" s="4" t="s">
        <x:v>301</x:v>
      </x:c>
      <x:c r="C274" s="4" t="s">
        <x:v>302</x:v>
      </x:c>
      <x:c r="D274" s="4" t="s">
        <x:v>324</x:v>
      </x:c>
      <x:c r="E274" s="4" t="s">
        <x:v>25</x:v>
      </x:c>
      <x:c r="F274" s="4">
        <x:v>15.0</x:v>
      </x:c>
      <x:c r="G274" s="4">
        <x:v>16.0</x:v>
      </x:c>
      <x:c r="H274" s="4">
        <x:v>-1.0</x:v>
      </x:c>
      <x:c r="I274" s="4">
        <x:v>14.0</x:v>
      </x:c>
      <x:c r="J274" s="4">
        <x:v>15.0</x:v>
      </x:c>
      <x:c r="K274" s="4">
        <x:v>-1.0</x:v>
      </x:c>
      <x:c r="L274" s="4">
        <x:v>51.0</x:v>
      </x:c>
      <x:c r="M274" s="4">
        <x:v>51.0</x:v>
      </x:c>
    </x:row>
    <x:row r="275" ht="15.75" customHeight="1">
      <x:c r="A275" s="4">
        <x:v>5792.0</x:v>
      </x:c>
      <x:c r="B275" s="4" t="s">
        <x:v>301</x:v>
      </x:c>
      <x:c r="C275" s="4" t="s">
        <x:v>313</x:v>
      </x:c>
      <x:c r="D275" s="4" t="s">
        <x:v>325</x:v>
      </x:c>
      <x:c r="E275" s="4" t="s">
        <x:v>27</x:v>
      </x:c>
      <x:c r="F275" s="4">
        <x:v>14.0</x:v>
      </x:c>
      <x:c r="G275" s="4">
        <x:v>15.0</x:v>
      </x:c>
      <x:c r="H275" s="4">
        <x:v>-1.0</x:v>
      </x:c>
      <x:c r="I275" s="4">
        <x:v>15.0</x:v>
      </x:c>
      <x:c r="J275" s="4">
        <x:v>16.0</x:v>
      </x:c>
      <x:c r="K275" s="4">
        <x:v>-1.0</x:v>
      </x:c>
      <x:c r="L275" s="4">
        <x:v>42.0</x:v>
      </x:c>
      <x:c r="M275" s="4">
        <x:v>47.0</x:v>
      </x:c>
    </x:row>
    <x:row r="276" ht="15.75" customHeight="1">
      <x:c r="A276" s="4">
        <x:v>1870.0</x:v>
      </x:c>
      <x:c r="B276" s="4" t="s">
        <x:v>301</x:v>
      </x:c>
      <x:c r="C276" s="4" t="s">
        <x:v>301</x:v>
      </x:c>
      <x:c r="D276" s="4" t="s">
        <x:v>326</x:v>
      </x:c>
      <x:c r="E276" s="4" t="s">
        <x:v>19</x:v>
      </x:c>
      <x:c r="F276" s="4">
        <x:v>14.0</x:v>
      </x:c>
      <x:c r="G276" s="4">
        <x:v>14.0</x:v>
      </x:c>
      <x:c r="H276" s="4">
        <x:v>0.0</x:v>
      </x:c>
      <x:c r="I276" s="4">
        <x:v>14.0</x:v>
      </x:c>
      <x:c r="J276" s="4">
        <x:v>14.0</x:v>
      </x:c>
      <x:c r="K276" s="4">
        <x:v>0.0</x:v>
      </x:c>
      <x:c r="L276" s="4">
        <x:v>55.0</x:v>
      </x:c>
      <x:c r="M276" s="4">
        <x:v>55.0</x:v>
      </x:c>
    </x:row>
    <x:row r="277" ht="15.75" customHeight="1">
      <x:c r="A277" s="4">
        <x:v>5685.0</x:v>
      </x:c>
      <x:c r="B277" s="4" t="s">
        <x:v>301</x:v>
      </x:c>
      <x:c r="C277" s="4" t="s">
        <x:v>307</x:v>
      </x:c>
      <x:c r="D277" s="4" t="s">
        <x:v>327</x:v>
      </x:c>
      <x:c r="E277" s="4" t="s">
        <x:v>17</x:v>
      </x:c>
      <x:c r="F277" s="4">
        <x:v>14.0</x:v>
      </x:c>
      <x:c r="G277" s="4">
        <x:v>14.0</x:v>
      </x:c>
      <x:c r="H277" s="4">
        <x:v>0.0</x:v>
      </x:c>
      <x:c r="I277" s="4">
        <x:v>14.0</x:v>
      </x:c>
      <x:c r="J277" s="4">
        <x:v>14.0</x:v>
      </x:c>
      <x:c r="K277" s="4">
        <x:v>0.0</x:v>
      </x:c>
      <x:c r="L277" s="4">
        <x:v>35.0</x:v>
      </x:c>
      <x:c r="M277" s="4">
        <x:v>35.0</x:v>
      </x:c>
    </x:row>
    <x:row r="278" ht="15.75" customHeight="1">
      <x:c r="A278" s="4">
        <x:v>5589.0</x:v>
      </x:c>
      <x:c r="B278" s="4" t="s">
        <x:v>301</x:v>
      </x:c>
      <x:c r="C278" s="4" t="s">
        <x:v>313</x:v>
      </x:c>
      <x:c r="D278" s="4" t="s">
        <x:v>328</x:v>
      </x:c>
      <x:c r="E278" s="4" t="s">
        <x:v>25</x:v>
      </x:c>
      <x:c r="F278" s="4">
        <x:v>14.0</x:v>
      </x:c>
      <x:c r="G278" s="4">
        <x:v>14.0</x:v>
      </x:c>
      <x:c r="H278" s="4">
        <x:v>0.0</x:v>
      </x:c>
      <x:c r="I278" s="4">
        <x:v>15.0</x:v>
      </x:c>
      <x:c r="J278" s="4">
        <x:v>15.0</x:v>
      </x:c>
      <x:c r="K278" s="4">
        <x:v>0.0</x:v>
      </x:c>
      <x:c r="L278" s="4">
        <x:v>41.0</x:v>
      </x:c>
      <x:c r="M278" s="4">
        <x:v>46.0</x:v>
      </x:c>
    </x:row>
    <x:row r="279" ht="15.75" customHeight="1">
      <x:c r="A279" s="4">
        <x:v>5687.0</x:v>
      </x:c>
      <x:c r="B279" s="4" t="s">
        <x:v>301</x:v>
      </x:c>
      <x:c r="C279" s="4" t="s">
        <x:v>310</x:v>
      </x:c>
      <x:c r="D279" s="4" t="s">
        <x:v>329</x:v>
      </x:c>
      <x:c r="E279" s="4" t="s">
        <x:v>41</x:v>
      </x:c>
      <x:c r="F279" s="4">
        <x:v>14.0</x:v>
      </x:c>
      <x:c r="G279" s="4">
        <x:v>15.0</x:v>
      </x:c>
      <x:c r="H279" s="4">
        <x:v>-1.0</x:v>
      </x:c>
      <x:c r="I279" s="4">
        <x:v>13.0</x:v>
      </x:c>
      <x:c r="J279" s="4">
        <x:v>14.0</x:v>
      </x:c>
      <x:c r="K279" s="4">
        <x:v>-1.0</x:v>
      </x:c>
      <x:c r="L279" s="4">
        <x:v>39.0</x:v>
      </x:c>
      <x:c r="M279" s="4">
        <x:v>36.0</x:v>
      </x:c>
    </x:row>
    <x:row r="280" ht="15.75" customHeight="1">
      <x:c r="A280" s="4">
        <x:v>6844.0</x:v>
      </x:c>
      <x:c r="B280" s="4" t="s">
        <x:v>301</x:v>
      </x:c>
      <x:c r="C280" s="4" t="s">
        <x:v>330</x:v>
      </x:c>
      <x:c r="D280" s="4" t="s">
        <x:v>331</x:v>
      </x:c>
      <x:c r="E280" s="4" t="s">
        <x:v>33</x:v>
      </x:c>
      <x:c r="F280" s="4">
        <x:v>14.0</x:v>
      </x:c>
      <x:c r="G280" s="4">
        <x:v>14.0</x:v>
      </x:c>
      <x:c r="H280" s="4">
        <x:v>0.0</x:v>
      </x:c>
      <x:c r="I280" s="4">
        <x:v>14.0</x:v>
      </x:c>
      <x:c r="J280" s="4">
        <x:v>14.0</x:v>
      </x:c>
      <x:c r="K280" s="4">
        <x:v>0.0</x:v>
      </x:c>
      <x:c r="L280" s="4">
        <x:v>49.0</x:v>
      </x:c>
      <x:c r="M280" s="4">
        <x:v>49.0</x:v>
      </x:c>
    </x:row>
    <x:row r="281" ht="15.75" customHeight="1">
      <x:c r="A281" s="4">
        <x:v>7133.0</x:v>
      </x:c>
      <x:c r="B281" s="4" t="s">
        <x:v>301</x:v>
      </x:c>
      <x:c r="C281" s="4" t="s">
        <x:v>330</x:v>
      </x:c>
      <x:c r="D281" s="4" t="s">
        <x:v>332</x:v>
      </x:c>
      <x:c r="E281" s="4" t="s">
        <x:v>47</x:v>
      </x:c>
      <x:c r="F281" s="4">
        <x:v>13.0</x:v>
      </x:c>
      <x:c r="G281" s="4">
        <x:v>12.0</x:v>
      </x:c>
      <x:c r="H281" s="4">
        <x:v>1.0</x:v>
      </x:c>
      <x:c r="I281" s="4">
        <x:v>13.0</x:v>
      </x:c>
      <x:c r="J281" s="4">
        <x:v>12.0</x:v>
      </x:c>
      <x:c r="K281" s="4">
        <x:v>1.0</x:v>
      </x:c>
      <x:c r="L281" s="4">
        <x:v>36.0</x:v>
      </x:c>
      <x:c r="M281" s="4">
        <x:v>36.0</x:v>
      </x:c>
    </x:row>
    <x:row r="282" ht="15.75" customHeight="1">
      <x:c r="A282" s="4">
        <x:v>2848.0</x:v>
      </x:c>
      <x:c r="B282" s="4" t="s">
        <x:v>301</x:v>
      </x:c>
      <x:c r="C282" s="4" t="s">
        <x:v>307</x:v>
      </x:c>
      <x:c r="D282" s="4" t="s">
        <x:v>333</x:v>
      </x:c>
      <x:c r="E282" s="4" t="s">
        <x:v>19</x:v>
      </x:c>
      <x:c r="F282" s="4">
        <x:v>13.0</x:v>
      </x:c>
      <x:c r="G282" s="4">
        <x:v>14.0</x:v>
      </x:c>
      <x:c r="H282" s="4">
        <x:v>-1.0</x:v>
      </x:c>
      <x:c r="I282" s="4">
        <x:v>13.0</x:v>
      </x:c>
      <x:c r="J282" s="4">
        <x:v>14.0</x:v>
      </x:c>
      <x:c r="K282" s="4">
        <x:v>-1.0</x:v>
      </x:c>
      <x:c r="L282" s="4">
        <x:v>37.0</x:v>
      </x:c>
      <x:c r="M282" s="4">
        <x:v>37.0</x:v>
      </x:c>
    </x:row>
    <x:row r="283" ht="15.75" customHeight="1">
      <x:c r="A283" s="4">
        <x:v>827.0</x:v>
      </x:c>
      <x:c r="B283" s="4" t="s">
        <x:v>301</x:v>
      </x:c>
      <x:c r="C283" s="4" t="s">
        <x:v>313</x:v>
      </x:c>
      <x:c r="D283" s="4" t="s">
        <x:v>334</x:v>
      </x:c>
      <x:c r="E283" s="4" t="s">
        <x:v>17</x:v>
      </x:c>
      <x:c r="F283" s="4">
        <x:v>13.0</x:v>
      </x:c>
      <x:c r="G283" s="4">
        <x:v>12.0</x:v>
      </x:c>
      <x:c r="H283" s="4">
        <x:v>1.0</x:v>
      </x:c>
      <x:c r="I283" s="4">
        <x:v>14.0</x:v>
      </x:c>
      <x:c r="J283" s="4">
        <x:v>13.0</x:v>
      </x:c>
      <x:c r="K283" s="4">
        <x:v>1.0</x:v>
      </x:c>
      <x:c r="L283" s="4">
        <x:v>50.0</x:v>
      </x:c>
      <x:c r="M283" s="4">
        <x:v>55.0</x:v>
      </x:c>
    </x:row>
    <x:row r="284" ht="15.75" customHeight="1">
      <x:c r="A284" s="4">
        <x:v>6398.0</x:v>
      </x:c>
      <x:c r="B284" s="4" t="s">
        <x:v>301</x:v>
      </x:c>
      <x:c r="C284" s="4" t="s">
        <x:v>302</x:v>
      </x:c>
      <x:c r="D284" s="4" t="s">
        <x:v>335</x:v>
      </x:c>
      <x:c r="E284" s="4" t="s">
        <x:v>31</x:v>
      </x:c>
      <x:c r="F284" s="4">
        <x:v>13.0</x:v>
      </x:c>
      <x:c r="G284" s="4">
        <x:v>14.0</x:v>
      </x:c>
      <x:c r="H284" s="4">
        <x:v>-1.0</x:v>
      </x:c>
      <x:c r="I284" s="4">
        <x:v>13.0</x:v>
      </x:c>
      <x:c r="J284" s="4">
        <x:v>14.0</x:v>
      </x:c>
      <x:c r="K284" s="4">
        <x:v>-1.0</x:v>
      </x:c>
      <x:c r="L284" s="4">
        <x:v>38.0</x:v>
      </x:c>
      <x:c r="M284" s="4">
        <x:v>38.0</x:v>
      </x:c>
    </x:row>
    <x:row r="285" ht="15.75" customHeight="1">
      <x:c r="A285" s="4">
        <x:v>2606.0</x:v>
      </x:c>
      <x:c r="B285" s="4" t="s">
        <x:v>301</x:v>
      </x:c>
      <x:c r="C285" s="4" t="s">
        <x:v>301</x:v>
      </x:c>
      <x:c r="D285" s="4" t="s">
        <x:v>336</x:v>
      </x:c>
      <x:c r="E285" s="4" t="s">
        <x:v>21</x:v>
      </x:c>
      <x:c r="F285" s="4">
        <x:v>13.0</x:v>
      </x:c>
      <x:c r="G285" s="4">
        <x:v>12.0</x:v>
      </x:c>
      <x:c r="H285" s="4">
        <x:v>1.0</x:v>
      </x:c>
      <x:c r="I285" s="4">
        <x:v>13.0</x:v>
      </x:c>
      <x:c r="J285" s="4">
        <x:v>12.0</x:v>
      </x:c>
      <x:c r="K285" s="4">
        <x:v>1.0</x:v>
      </x:c>
      <x:c r="L285" s="4">
        <x:v>42.0</x:v>
      </x:c>
      <x:c r="M285" s="4">
        <x:v>42.0</x:v>
      </x:c>
    </x:row>
    <x:row r="286" ht="15.75" customHeight="1">
      <x:c r="A286" s="4">
        <x:v>6831.0</x:v>
      </x:c>
      <x:c r="B286" s="4" t="s">
        <x:v>301</x:v>
      </x:c>
      <x:c r="C286" s="4" t="s">
        <x:v>302</x:v>
      </x:c>
      <x:c r="D286" s="4" t="s">
        <x:v>337</x:v>
      </x:c>
      <x:c r="E286" s="4" t="s">
        <x:v>23</x:v>
      </x:c>
      <x:c r="F286" s="4">
        <x:v>13.0</x:v>
      </x:c>
      <x:c r="G286" s="4">
        <x:v>13.0</x:v>
      </x:c>
      <x:c r="H286" s="4">
        <x:v>0.0</x:v>
      </x:c>
      <x:c r="I286" s="4">
        <x:v>13.0</x:v>
      </x:c>
      <x:c r="J286" s="4">
        <x:v>13.0</x:v>
      </x:c>
      <x:c r="K286" s="4">
        <x:v>0.0</x:v>
      </x:c>
      <x:c r="L286" s="4">
        <x:v>30.0</x:v>
      </x:c>
      <x:c r="M286" s="4">
        <x:v>33.0</x:v>
      </x:c>
    </x:row>
    <x:row r="287" ht="15.75" customHeight="1">
      <x:c r="A287" s="4">
        <x:v>22.0</x:v>
      </x:c>
      <x:c r="B287" s="4" t="s">
        <x:v>301</x:v>
      </x:c>
      <x:c r="C287" s="4" t="s">
        <x:v>313</x:v>
      </x:c>
      <x:c r="D287" s="4" t="s">
        <x:v>338</x:v>
      </x:c>
      <x:c r="E287" s="4" t="s">
        <x:v>27</x:v>
      </x:c>
      <x:c r="F287" s="4">
        <x:v>12.0</x:v>
      </x:c>
      <x:c r="G287" s="4">
        <x:v>12.0</x:v>
      </x:c>
      <x:c r="H287" s="4">
        <x:v>0.0</x:v>
      </x:c>
      <x:c r="I287" s="4">
        <x:v>13.0</x:v>
      </x:c>
      <x:c r="J287" s="4">
        <x:v>13.0</x:v>
      </x:c>
      <x:c r="K287" s="4">
        <x:v>0.0</x:v>
      </x:c>
      <x:c r="L287" s="4">
        <x:v>32.0</x:v>
      </x:c>
      <x:c r="M287" s="4">
        <x:v>37.0</x:v>
      </x:c>
    </x:row>
    <x:row r="288" ht="15.75" customHeight="1">
      <x:c r="A288" s="4">
        <x:v>5559.0</x:v>
      </x:c>
      <x:c r="B288" s="4" t="s">
        <x:v>301</x:v>
      </x:c>
      <x:c r="C288" s="4" t="s">
        <x:v>339</x:v>
      </x:c>
      <x:c r="D288" s="4" t="s">
        <x:v>340</x:v>
      </x:c>
      <x:c r="E288" s="4" t="s">
        <x:v>35</x:v>
      </x:c>
      <x:c r="F288" s="4">
        <x:v>12.0</x:v>
      </x:c>
      <x:c r="G288" s="4">
        <x:v>12.0</x:v>
      </x:c>
      <x:c r="H288" s="4">
        <x:v>0.0</x:v>
      </x:c>
      <x:c r="I288" s="4">
        <x:v>13.0</x:v>
      </x:c>
      <x:c r="J288" s="4">
        <x:v>13.0</x:v>
      </x:c>
      <x:c r="K288" s="4">
        <x:v>0.0</x:v>
      </x:c>
      <x:c r="L288" s="4">
        <x:v>33.0</x:v>
      </x:c>
      <x:c r="M288" s="4">
        <x:v>36.0</x:v>
      </x:c>
    </x:row>
    <x:row r="289" ht="15.75" customHeight="1">
      <x:c r="A289" s="4">
        <x:v>4186.0</x:v>
      </x:c>
      <x:c r="B289" s="4" t="s">
        <x:v>301</x:v>
      </x:c>
      <x:c r="C289" s="4" t="s">
        <x:v>301</x:v>
      </x:c>
      <x:c r="D289" s="4" t="s">
        <x:v>341</x:v>
      </x:c>
      <x:c r="E289" s="4" t="s">
        <x:v>31</x:v>
      </x:c>
      <x:c r="F289" s="4">
        <x:v>12.0</x:v>
      </x:c>
      <x:c r="G289" s="4">
        <x:v>11.0</x:v>
      </x:c>
      <x:c r="H289" s="4">
        <x:v>1.0</x:v>
      </x:c>
      <x:c r="I289" s="4">
        <x:v>12.0</x:v>
      </x:c>
      <x:c r="J289" s="4">
        <x:v>11.0</x:v>
      </x:c>
      <x:c r="K289" s="4">
        <x:v>1.0</x:v>
      </x:c>
      <x:c r="L289" s="4">
        <x:v>23.0</x:v>
      </x:c>
      <x:c r="M289" s="4">
        <x:v>23.0</x:v>
      </x:c>
    </x:row>
    <x:row r="290" ht="15.75" customHeight="1">
      <x:c r="A290" s="4">
        <x:v>4892.0</x:v>
      </x:c>
      <x:c r="B290" s="4" t="s">
        <x:v>301</x:v>
      </x:c>
      <x:c r="C290" s="4" t="s">
        <x:v>342</x:v>
      </x:c>
      <x:c r="D290" s="4" t="s">
        <x:v>343</x:v>
      </x:c>
      <x:c r="E290" s="4" t="s">
        <x:v>21</x:v>
      </x:c>
      <x:c r="F290" s="4">
        <x:v>12.0</x:v>
      </x:c>
      <x:c r="G290" s="4">
        <x:v>12.0</x:v>
      </x:c>
      <x:c r="H290" s="4">
        <x:v>0.0</x:v>
      </x:c>
      <x:c r="I290" s="4">
        <x:v>14.0</x:v>
      </x:c>
      <x:c r="J290" s="4">
        <x:v>14.0</x:v>
      </x:c>
      <x:c r="K290" s="4">
        <x:v>0.0</x:v>
      </x:c>
      <x:c r="L290" s="4">
        <x:v>40.0</x:v>
      </x:c>
      <x:c r="M290" s="4">
        <x:v>43.0</x:v>
      </x:c>
    </x:row>
    <x:row r="291" ht="15.75" customHeight="1">
      <x:c r="A291" s="4">
        <x:v>6984.0</x:v>
      </x:c>
      <x:c r="B291" s="4" t="s">
        <x:v>301</x:v>
      </x:c>
      <x:c r="C291" s="4" t="s">
        <x:v>302</x:v>
      </x:c>
      <x:c r="D291" s="4" t="s">
        <x:v>344</x:v>
      </x:c>
      <x:c r="E291" s="4" t="s">
        <x:v>45</x:v>
      </x:c>
      <x:c r="F291" s="4">
        <x:v>12.0</x:v>
      </x:c>
      <x:c r="G291" s="4">
        <x:v>13.0</x:v>
      </x:c>
      <x:c r="H291" s="4">
        <x:v>-1.0</x:v>
      </x:c>
      <x:c r="I291" s="4">
        <x:v>11.0</x:v>
      </x:c>
      <x:c r="J291" s="4">
        <x:v>12.0</x:v>
      </x:c>
      <x:c r="K291" s="4">
        <x:v>-1.0</x:v>
      </x:c>
      <x:c r="L291" s="4">
        <x:v>15.0</x:v>
      </x:c>
      <x:c r="M291" s="4">
        <x:v>15.0</x:v>
      </x:c>
    </x:row>
    <x:row r="292" ht="15.75" customHeight="1">
      <x:c r="A292" s="4">
        <x:v>5318.0</x:v>
      </x:c>
      <x:c r="B292" s="4" t="s">
        <x:v>301</x:v>
      </x:c>
      <x:c r="C292" s="4" t="s">
        <x:v>330</x:v>
      </x:c>
      <x:c r="D292" s="4" t="s">
        <x:v>345</x:v>
      </x:c>
      <x:c r="E292" s="4" t="s">
        <x:v>55</x:v>
      </x:c>
      <x:c r="F292" s="4">
        <x:v>12.0</x:v>
      </x:c>
      <x:c r="G292" s="4">
        <x:v>12.0</x:v>
      </x:c>
      <x:c r="H292" s="4">
        <x:v>0.0</x:v>
      </x:c>
      <x:c r="I292" s="4">
        <x:v>12.0</x:v>
      </x:c>
      <x:c r="J292" s="4">
        <x:v>12.0</x:v>
      </x:c>
      <x:c r="K292" s="4">
        <x:v>0.0</x:v>
      </x:c>
      <x:c r="L292" s="4">
        <x:v>41.0</x:v>
      </x:c>
      <x:c r="M292" s="4">
        <x:v>41.0</x:v>
      </x:c>
    </x:row>
    <x:row r="293" ht="15.75" customHeight="1">
      <x:c r="A293" s="4">
        <x:v>5888.0</x:v>
      </x:c>
      <x:c r="B293" s="4" t="s">
        <x:v>301</x:v>
      </x:c>
      <x:c r="C293" s="4" t="s">
        <x:v>307</x:v>
      </x:c>
      <x:c r="D293" s="4" t="s">
        <x:v>346</x:v>
      </x:c>
      <x:c r="E293" s="4" t="s">
        <x:v>41</x:v>
      </x:c>
      <x:c r="F293" s="4">
        <x:v>12.0</x:v>
      </x:c>
      <x:c r="G293" s="4">
        <x:v>12.0</x:v>
      </x:c>
      <x:c r="H293" s="4">
        <x:v>0.0</x:v>
      </x:c>
      <x:c r="I293" s="4">
        <x:v>12.0</x:v>
      </x:c>
      <x:c r="J293" s="4">
        <x:v>12.0</x:v>
      </x:c>
      <x:c r="K293" s="4">
        <x:v>0.0</x:v>
      </x:c>
      <x:c r="L293" s="4">
        <x:v>28.0</x:v>
      </x:c>
      <x:c r="M293" s="4">
        <x:v>28.0</x:v>
      </x:c>
    </x:row>
    <x:row r="294" ht="15.75" customHeight="1">
      <x:c r="A294" s="4">
        <x:v>7203.0</x:v>
      </x:c>
      <x:c r="B294" s="4" t="s">
        <x:v>301</x:v>
      </x:c>
      <x:c r="C294" s="4" t="s">
        <x:v>301</x:v>
      </x:c>
      <x:c r="D294" s="4" t="s">
        <x:v>347</x:v>
      </x:c>
      <x:c r="E294" s="4" t="s">
        <x:v>21</x:v>
      </x:c>
      <x:c r="F294" s="4">
        <x:v>12.0</x:v>
      </x:c>
      <x:c r="G294" s="4">
        <x:v>13.0</x:v>
      </x:c>
      <x:c r="H294" s="4">
        <x:v>-1.0</x:v>
      </x:c>
      <x:c r="I294" s="4">
        <x:v>12.0</x:v>
      </x:c>
      <x:c r="J294" s="4">
        <x:v>13.0</x:v>
      </x:c>
      <x:c r="K294" s="4">
        <x:v>-1.0</x:v>
      </x:c>
      <x:c r="L294" s="4">
        <x:v>23.0</x:v>
      </x:c>
      <x:c r="M294" s="4">
        <x:v>23.0</x:v>
      </x:c>
    </x:row>
    <x:row r="295" ht="15.75" customHeight="1">
      <x:c r="A295" s="4">
        <x:v>6218.0</x:v>
      </x:c>
      <x:c r="B295" s="4" t="s">
        <x:v>301</x:v>
      </x:c>
      <x:c r="C295" s="4" t="s">
        <x:v>348</x:v>
      </x:c>
      <x:c r="D295" s="4" t="s">
        <x:v>349</x:v>
      </x:c>
      <x:c r="E295" s="4" t="s">
        <x:v>45</x:v>
      </x:c>
      <x:c r="F295" s="4">
        <x:v>12.0</x:v>
      </x:c>
      <x:c r="G295" s="4">
        <x:v>12.0</x:v>
      </x:c>
      <x:c r="H295" s="4">
        <x:v>0.0</x:v>
      </x:c>
      <x:c r="I295" s="4">
        <x:v>12.0</x:v>
      </x:c>
      <x:c r="J295" s="4">
        <x:v>12.0</x:v>
      </x:c>
      <x:c r="K295" s="4">
        <x:v>0.0</x:v>
      </x:c>
      <x:c r="L295" s="4">
        <x:v>38.0</x:v>
      </x:c>
      <x:c r="M295" s="4">
        <x:v>38.0</x:v>
      </x:c>
    </x:row>
    <x:row r="296" ht="15.75" customHeight="1">
      <x:c r="A296" s="4">
        <x:v>2077.0</x:v>
      </x:c>
      <x:c r="B296" s="4" t="s">
        <x:v>301</x:v>
      </x:c>
      <x:c r="C296" s="4" t="s">
        <x:v>307</x:v>
      </x:c>
      <x:c r="D296" s="4" t="s">
        <x:v>350</x:v>
      </x:c>
      <x:c r="E296" s="4" t="s">
        <x:v>27</x:v>
      </x:c>
      <x:c r="F296" s="4">
        <x:v>11.0</x:v>
      </x:c>
      <x:c r="G296" s="4">
        <x:v>9.0</x:v>
      </x:c>
      <x:c r="H296" s="4">
        <x:v>2.0</x:v>
      </x:c>
      <x:c r="I296" s="4">
        <x:v>11.0</x:v>
      </x:c>
      <x:c r="J296" s="4">
        <x:v>9.0</x:v>
      </x:c>
      <x:c r="K296" s="4">
        <x:v>2.0</x:v>
      </x:c>
      <x:c r="L296" s="4">
        <x:v>28.0</x:v>
      </x:c>
      <x:c r="M296" s="4">
        <x:v>28.0</x:v>
      </x:c>
    </x:row>
    <x:row r="297" ht="15.75" customHeight="1">
      <x:c r="A297" s="4">
        <x:v>5119.0</x:v>
      </x:c>
      <x:c r="B297" s="4" t="s">
        <x:v>301</x:v>
      </x:c>
      <x:c r="C297" s="4" t="s">
        <x:v>310</x:v>
      </x:c>
      <x:c r="D297" s="4" t="s">
        <x:v>351</x:v>
      </x:c>
      <x:c r="E297" s="4" t="s">
        <x:v>27</x:v>
      </x:c>
      <x:c r="F297" s="4">
        <x:v>11.0</x:v>
      </x:c>
      <x:c r="G297" s="4">
        <x:v>12.0</x:v>
      </x:c>
      <x:c r="H297" s="4">
        <x:v>-1.0</x:v>
      </x:c>
      <x:c r="I297" s="4">
        <x:v>10.0</x:v>
      </x:c>
      <x:c r="J297" s="4">
        <x:v>11.0</x:v>
      </x:c>
      <x:c r="K297" s="4">
        <x:v>-1.0</x:v>
      </x:c>
      <x:c r="L297" s="4">
        <x:v>25.0</x:v>
      </x:c>
      <x:c r="M297" s="4">
        <x:v>22.0</x:v>
      </x:c>
    </x:row>
    <x:row r="298" ht="15.75" customHeight="1">
      <x:c r="A298" s="4">
        <x:v>788.0</x:v>
      </x:c>
      <x:c r="B298" s="4" t="s">
        <x:v>301</x:v>
      </x:c>
      <x:c r="C298" s="4" t="s">
        <x:v>313</x:v>
      </x:c>
      <x:c r="D298" s="4" t="s">
        <x:v>352</x:v>
      </x:c>
      <x:c r="E298" s="4" t="s">
        <x:v>33</x:v>
      </x:c>
      <x:c r="F298" s="4">
        <x:v>11.0</x:v>
      </x:c>
      <x:c r="G298" s="4">
        <x:v>11.0</x:v>
      </x:c>
      <x:c r="H298" s="4">
        <x:v>0.0</x:v>
      </x:c>
      <x:c r="I298" s="4">
        <x:v>12.0</x:v>
      </x:c>
      <x:c r="J298" s="4">
        <x:v>12.0</x:v>
      </x:c>
      <x:c r="K298" s="4">
        <x:v>0.0</x:v>
      </x:c>
      <x:c r="L298" s="4">
        <x:v>23.0</x:v>
      </x:c>
      <x:c r="M298" s="4">
        <x:v>28.0</x:v>
      </x:c>
    </x:row>
    <x:row r="299" ht="15.75" customHeight="1">
      <x:c r="A299" s="4">
        <x:v>5036.0</x:v>
      </x:c>
      <x:c r="B299" s="4" t="s">
        <x:v>301</x:v>
      </x:c>
      <x:c r="C299" s="4" t="s">
        <x:v>307</x:v>
      </x:c>
      <x:c r="D299" s="4" t="s">
        <x:v>353</x:v>
      </x:c>
      <x:c r="E299" s="4" t="s">
        <x:v>35</x:v>
      </x:c>
      <x:c r="F299" s="4">
        <x:v>11.0</x:v>
      </x:c>
      <x:c r="G299" s="4">
        <x:v>12.0</x:v>
      </x:c>
      <x:c r="H299" s="4">
        <x:v>-1.0</x:v>
      </x:c>
      <x:c r="I299" s="4">
        <x:v>11.0</x:v>
      </x:c>
      <x:c r="J299" s="4">
        <x:v>12.0</x:v>
      </x:c>
      <x:c r="K299" s="4">
        <x:v>-1.0</x:v>
      </x:c>
      <x:c r="L299" s="4">
        <x:v>19.0</x:v>
      </x:c>
      <x:c r="M299" s="4">
        <x:v>19.0</x:v>
      </x:c>
    </x:row>
    <x:row r="300" ht="15.75" customHeight="1">
      <x:c r="A300" s="4">
        <x:v>449.0</x:v>
      </x:c>
      <x:c r="B300" s="4" t="s">
        <x:v>301</x:v>
      </x:c>
      <x:c r="C300" s="4" t="s">
        <x:v>304</x:v>
      </x:c>
      <x:c r="D300" s="4" t="s">
        <x:v>354</x:v>
      </x:c>
      <x:c r="E300" s="4" t="s">
        <x:v>47</x:v>
      </x:c>
      <x:c r="F300" s="4">
        <x:v>11.0</x:v>
      </x:c>
      <x:c r="G300" s="4">
        <x:v>10.0</x:v>
      </x:c>
      <x:c r="H300" s="4">
        <x:v>1.0</x:v>
      </x:c>
      <x:c r="I300" s="4">
        <x:v>11.0</x:v>
      </x:c>
      <x:c r="J300" s="4">
        <x:v>10.0</x:v>
      </x:c>
      <x:c r="K300" s="4">
        <x:v>1.0</x:v>
      </x:c>
      <x:c r="L300" s="4">
        <x:v>24.0</x:v>
      </x:c>
      <x:c r="M300" s="4">
        <x:v>24.0</x:v>
      </x:c>
    </x:row>
    <x:row r="301" ht="15.75" customHeight="1">
      <x:c r="A301" s="4">
        <x:v>6010.0</x:v>
      </x:c>
      <x:c r="B301" s="4" t="s">
        <x:v>301</x:v>
      </x:c>
      <x:c r="C301" s="4" t="s">
        <x:v>307</x:v>
      </x:c>
      <x:c r="D301" s="4" t="s">
        <x:v>355</x:v>
      </x:c>
      <x:c r="E301" s="4" t="s">
        <x:v>29</x:v>
      </x:c>
      <x:c r="F301" s="4">
        <x:v>11.0</x:v>
      </x:c>
      <x:c r="G301" s="4">
        <x:v>11.0</x:v>
      </x:c>
      <x:c r="H301" s="4">
        <x:v>0.0</x:v>
      </x:c>
      <x:c r="I301" s="4">
        <x:v>11.0</x:v>
      </x:c>
      <x:c r="J301" s="4">
        <x:v>11.0</x:v>
      </x:c>
      <x:c r="K301" s="4">
        <x:v>0.0</x:v>
      </x:c>
      <x:c r="L301" s="4">
        <x:v>22.0</x:v>
      </x:c>
      <x:c r="M301" s="4">
        <x:v>22.0</x:v>
      </x:c>
    </x:row>
    <x:row r="302" ht="15.75" customHeight="1">
      <x:c r="A302" s="4">
        <x:v>6722.0</x:v>
      </x:c>
      <x:c r="B302" s="4" t="s">
        <x:v>301</x:v>
      </x:c>
      <x:c r="C302" s="4" t="s">
        <x:v>330</x:v>
      </x:c>
      <x:c r="D302" s="4" t="s">
        <x:v>356</x:v>
      </x:c>
      <x:c r="E302" s="4" t="s">
        <x:v>37</x:v>
      </x:c>
      <x:c r="F302" s="4">
        <x:v>11.0</x:v>
      </x:c>
      <x:c r="G302" s="4">
        <x:v>12.0</x:v>
      </x:c>
      <x:c r="H302" s="4">
        <x:v>-1.0</x:v>
      </x:c>
      <x:c r="I302" s="4">
        <x:v>11.0</x:v>
      </x:c>
      <x:c r="J302" s="4">
        <x:v>12.0</x:v>
      </x:c>
      <x:c r="K302" s="4">
        <x:v>-1.0</x:v>
      </x:c>
      <x:c r="L302" s="4">
        <x:v>32.0</x:v>
      </x:c>
      <x:c r="M302" s="4">
        <x:v>32.0</x:v>
      </x:c>
    </x:row>
    <x:row r="303" ht="15.75" customHeight="1">
      <x:c r="A303" s="4">
        <x:v>6106.0</x:v>
      </x:c>
      <x:c r="B303" s="4" t="s">
        <x:v>301</x:v>
      </x:c>
      <x:c r="C303" s="4" t="s">
        <x:v>304</x:v>
      </x:c>
      <x:c r="D303" s="4" t="s">
        <x:v>357</x:v>
      </x:c>
      <x:c r="E303" s="4" t="s">
        <x:v>37</x:v>
      </x:c>
      <x:c r="F303" s="4">
        <x:v>11.0</x:v>
      </x:c>
      <x:c r="G303" s="4">
        <x:v>11.0</x:v>
      </x:c>
      <x:c r="H303" s="4">
        <x:v>0.0</x:v>
      </x:c>
      <x:c r="I303" s="4">
        <x:v>11.0</x:v>
      </x:c>
      <x:c r="J303" s="4">
        <x:v>11.0</x:v>
      </x:c>
      <x:c r="K303" s="4">
        <x:v>0.0</x:v>
      </x:c>
      <x:c r="L303" s="4">
        <x:v>29.0</x:v>
      </x:c>
      <x:c r="M303" s="4">
        <x:v>29.0</x:v>
      </x:c>
    </x:row>
    <x:row r="304" ht="15.75" customHeight="1">
      <x:c r="A304" s="4">
        <x:v>6629.0</x:v>
      </x:c>
      <x:c r="B304" s="4" t="s">
        <x:v>301</x:v>
      </x:c>
      <x:c r="C304" s="4" t="s">
        <x:v>307</x:v>
      </x:c>
      <x:c r="D304" s="4" t="s">
        <x:v>358</x:v>
      </x:c>
      <x:c r="E304" s="4" t="s">
        <x:v>31</x:v>
      </x:c>
      <x:c r="F304" s="4">
        <x:v>11.0</x:v>
      </x:c>
      <x:c r="G304" s="4">
        <x:v>11.0</x:v>
      </x:c>
      <x:c r="H304" s="4">
        <x:v>0.0</x:v>
      </x:c>
      <x:c r="I304" s="4">
        <x:v>11.0</x:v>
      </x:c>
      <x:c r="J304" s="4">
        <x:v>11.0</x:v>
      </x:c>
      <x:c r="K304" s="4">
        <x:v>0.0</x:v>
      </x:c>
      <x:c r="L304" s="4">
        <x:v>31.0</x:v>
      </x:c>
      <x:c r="M304" s="4">
        <x:v>31.0</x:v>
      </x:c>
    </x:row>
    <x:row r="305" ht="15.75" customHeight="1">
      <x:c r="A305" s="4">
        <x:v>4686.0</x:v>
      </x:c>
      <x:c r="B305" s="4" t="s">
        <x:v>301</x:v>
      </x:c>
      <x:c r="C305" s="4" t="s">
        <x:v>313</x:v>
      </x:c>
      <x:c r="D305" s="4" t="s">
        <x:v>359</x:v>
      </x:c>
      <x:c r="E305" s="4" t="s">
        <x:v>21</x:v>
      </x:c>
      <x:c r="F305" s="4">
        <x:v>11.0</x:v>
      </x:c>
      <x:c r="G305" s="4">
        <x:v>11.0</x:v>
      </x:c>
      <x:c r="H305" s="4">
        <x:v>0.0</x:v>
      </x:c>
      <x:c r="I305" s="4">
        <x:v>12.0</x:v>
      </x:c>
      <x:c r="J305" s="4">
        <x:v>12.0</x:v>
      </x:c>
      <x:c r="K305" s="4">
        <x:v>0.0</x:v>
      </x:c>
      <x:c r="L305" s="4">
        <x:v>31.0</x:v>
      </x:c>
      <x:c r="M305" s="4">
        <x:v>36.0</x:v>
      </x:c>
    </x:row>
    <x:row r="306" ht="15.75" customHeight="1">
      <x:c r="A306" s="4">
        <x:v>6666.0</x:v>
      </x:c>
      <x:c r="B306" s="4" t="s">
        <x:v>301</x:v>
      </x:c>
      <x:c r="C306" s="4" t="s">
        <x:v>301</x:v>
      </x:c>
      <x:c r="D306" s="4" t="s">
        <x:v>360</x:v>
      </x:c>
      <x:c r="E306" s="4" t="s">
        <x:v>45</x:v>
      </x:c>
      <x:c r="F306" s="4">
        <x:v>11.0</x:v>
      </x:c>
      <x:c r="G306" s="4">
        <x:v>11.0</x:v>
      </x:c>
      <x:c r="H306" s="4">
        <x:v>0.0</x:v>
      </x:c>
      <x:c r="I306" s="4">
        <x:v>11.0</x:v>
      </x:c>
      <x:c r="J306" s="4">
        <x:v>11.0</x:v>
      </x:c>
      <x:c r="K306" s="4">
        <x:v>0.0</x:v>
      </x:c>
      <x:c r="L306" s="4">
        <x:v>36.0</x:v>
      </x:c>
      <x:c r="M306" s="4">
        <x:v>36.0</x:v>
      </x:c>
    </x:row>
    <x:row r="307" ht="15.75" customHeight="1">
      <x:c r="A307" s="4">
        <x:v>5319.0</x:v>
      </x:c>
      <x:c r="B307" s="4" t="s">
        <x:v>301</x:v>
      </x:c>
      <x:c r="C307" s="4" t="s">
        <x:v>301</x:v>
      </x:c>
      <x:c r="D307" s="4" t="s">
        <x:v>361</x:v>
      </x:c>
      <x:c r="E307" s="4" t="s">
        <x:v>29</x:v>
      </x:c>
      <x:c r="F307" s="4">
        <x:v>11.0</x:v>
      </x:c>
      <x:c r="G307" s="4">
        <x:v>12.0</x:v>
      </x:c>
      <x:c r="H307" s="4">
        <x:v>-1.0</x:v>
      </x:c>
      <x:c r="I307" s="4">
        <x:v>11.0</x:v>
      </x:c>
      <x:c r="J307" s="4">
        <x:v>12.0</x:v>
      </x:c>
      <x:c r="K307" s="4">
        <x:v>-1.0</x:v>
      </x:c>
      <x:c r="L307" s="4">
        <x:v>34.0</x:v>
      </x:c>
      <x:c r="M307" s="4">
        <x:v>34.0</x:v>
      </x:c>
    </x:row>
    <x:row r="308" ht="15.75" customHeight="1">
      <x:c r="A308" s="4">
        <x:v>5561.0</x:v>
      </x:c>
      <x:c r="B308" s="4" t="s">
        <x:v>301</x:v>
      </x:c>
      <x:c r="C308" s="4" t="s">
        <x:v>330</x:v>
      </x:c>
      <x:c r="D308" s="4" t="s">
        <x:v>362</x:v>
      </x:c>
      <x:c r="E308" s="4" t="s">
        <x:v>55</x:v>
      </x:c>
      <x:c r="F308" s="4">
        <x:v>11.0</x:v>
      </x:c>
      <x:c r="G308" s="4">
        <x:v>11.0</x:v>
      </x:c>
      <x:c r="H308" s="4">
        <x:v>0.0</x:v>
      </x:c>
      <x:c r="I308" s="4">
        <x:v>11.0</x:v>
      </x:c>
      <x:c r="J308" s="4">
        <x:v>11.0</x:v>
      </x:c>
      <x:c r="K308" s="4">
        <x:v>0.0</x:v>
      </x:c>
      <x:c r="L308" s="4">
        <x:v>35.0</x:v>
      </x:c>
      <x:c r="M308" s="4">
        <x:v>35.0</x:v>
      </x:c>
    </x:row>
    <x:row r="309" ht="15.75" customHeight="1">
      <x:c r="A309" s="4">
        <x:v>4479.0</x:v>
      </x:c>
      <x:c r="B309" s="4" t="s">
        <x:v>301</x:v>
      </x:c>
      <x:c r="C309" s="4" t="s">
        <x:v>330</x:v>
      </x:c>
      <x:c r="D309" s="4" t="s">
        <x:v>363</x:v>
      </x:c>
      <x:c r="E309" s="4" t="s">
        <x:v>23</x:v>
      </x:c>
      <x:c r="F309" s="4">
        <x:v>11.0</x:v>
      </x:c>
      <x:c r="G309" s="4">
        <x:v>11.0</x:v>
      </x:c>
      <x:c r="H309" s="4">
        <x:v>0.0</x:v>
      </x:c>
      <x:c r="I309" s="4">
        <x:v>11.0</x:v>
      </x:c>
      <x:c r="J309" s="4">
        <x:v>11.0</x:v>
      </x:c>
      <x:c r="K309" s="4">
        <x:v>0.0</x:v>
      </x:c>
      <x:c r="L309" s="4">
        <x:v>25.0</x:v>
      </x:c>
      <x:c r="M309" s="4">
        <x:v>25.0</x:v>
      </x:c>
    </x:row>
    <x:row r="310" ht="15.75" customHeight="1">
      <x:c r="A310" s="4">
        <x:v>2766.0</x:v>
      </x:c>
      <x:c r="B310" s="4" t="s">
        <x:v>301</x:v>
      </x:c>
      <x:c r="C310" s="4" t="s">
        <x:v>304</x:v>
      </x:c>
      <x:c r="D310" s="4" t="s">
        <x:v>364</x:v>
      </x:c>
      <x:c r="E310" s="4" t="s">
        <x:v>51</x:v>
      </x:c>
      <x:c r="F310" s="4">
        <x:v>11.0</x:v>
      </x:c>
      <x:c r="G310" s="4">
        <x:v>11.0</x:v>
      </x:c>
      <x:c r="H310" s="4">
        <x:v>0.0</x:v>
      </x:c>
      <x:c r="I310" s="4">
        <x:v>10.0</x:v>
      </x:c>
      <x:c r="J310" s="4">
        <x:v>10.0</x:v>
      </x:c>
      <x:c r="K310" s="4">
        <x:v>0.0</x:v>
      </x:c>
      <x:c r="L310" s="4">
        <x:v>27.0</x:v>
      </x:c>
      <x:c r="M310" s="4">
        <x:v>25.0</x:v>
      </x:c>
    </x:row>
    <x:row r="311" ht="15.75" customHeight="1">
      <x:c r="A311" s="4">
        <x:v>6206.0</x:v>
      </x:c>
      <x:c r="B311" s="4" t="s">
        <x:v>301</x:v>
      </x:c>
      <x:c r="C311" s="4" t="s">
        <x:v>307</x:v>
      </x:c>
      <x:c r="D311" s="4" t="s">
        <x:v>365</x:v>
      </x:c>
      <x:c r="E311" s="4" t="s">
        <x:v>33</x:v>
      </x:c>
      <x:c r="F311" s="4">
        <x:v>10.0</x:v>
      </x:c>
      <x:c r="G311" s="4">
        <x:v>10.0</x:v>
      </x:c>
      <x:c r="H311" s="4">
        <x:v>0.0</x:v>
      </x:c>
      <x:c r="I311" s="4">
        <x:v>10.0</x:v>
      </x:c>
      <x:c r="J311" s="4">
        <x:v>10.0</x:v>
      </x:c>
      <x:c r="K311" s="4">
        <x:v>0.0</x:v>
      </x:c>
      <x:c r="L311" s="4">
        <x:v>17.0</x:v>
      </x:c>
      <x:c r="M311" s="4">
        <x:v>17.0</x:v>
      </x:c>
    </x:row>
    <x:row r="312" ht="15.75" customHeight="1">
      <x:c r="A312" s="4">
        <x:v>5858.0</x:v>
      </x:c>
      <x:c r="B312" s="4" t="s">
        <x:v>301</x:v>
      </x:c>
      <x:c r="C312" s="4" t="s">
        <x:v>307</x:v>
      </x:c>
      <x:c r="D312" s="4" t="s">
        <x:v>366</x:v>
      </x:c>
      <x:c r="E312" s="4" t="s">
        <x:v>33</x:v>
      </x:c>
      <x:c r="F312" s="4">
        <x:v>10.0</x:v>
      </x:c>
      <x:c r="G312" s="4">
        <x:v>11.0</x:v>
      </x:c>
      <x:c r="H312" s="4">
        <x:v>-1.0</x:v>
      </x:c>
      <x:c r="I312" s="4">
        <x:v>10.0</x:v>
      </x:c>
      <x:c r="J312" s="4">
        <x:v>11.0</x:v>
      </x:c>
      <x:c r="K312" s="4">
        <x:v>-1.0</x:v>
      </x:c>
      <x:c r="L312" s="4">
        <x:v>23.0</x:v>
      </x:c>
      <x:c r="M312" s="4">
        <x:v>23.0</x:v>
      </x:c>
    </x:row>
    <x:row r="313" ht="15.75" customHeight="1">
      <x:c r="A313" s="4">
        <x:v>6549.0</x:v>
      </x:c>
      <x:c r="B313" s="4" t="s">
        <x:v>301</x:v>
      </x:c>
      <x:c r="C313" s="4" t="s">
        <x:v>302</x:v>
      </x:c>
      <x:c r="D313" s="4" t="s">
        <x:v>367</x:v>
      </x:c>
      <x:c r="E313" s="4" t="s">
        <x:v>43</x:v>
      </x:c>
      <x:c r="F313" s="4">
        <x:v>10.0</x:v>
      </x:c>
      <x:c r="G313" s="4">
        <x:v>10.0</x:v>
      </x:c>
      <x:c r="H313" s="4">
        <x:v>0.0</x:v>
      </x:c>
      <x:c r="I313" s="4">
        <x:v>9.0</x:v>
      </x:c>
      <x:c r="J313" s="4">
        <x:v>9.0</x:v>
      </x:c>
      <x:c r="K313" s="4">
        <x:v>0.0</x:v>
      </x:c>
      <x:c r="L313" s="4">
        <x:v>20.0</x:v>
      </x:c>
      <x:c r="M313" s="4">
        <x:v>18.0</x:v>
      </x:c>
    </x:row>
    <x:row r="314" ht="15.75" customHeight="1">
      <x:c r="A314" s="4">
        <x:v>5453.0</x:v>
      </x:c>
      <x:c r="B314" s="4" t="s">
        <x:v>301</x:v>
      </x:c>
      <x:c r="C314" s="4" t="s">
        <x:v>313</x:v>
      </x:c>
      <x:c r="D314" s="4" t="s">
        <x:v>368</x:v>
      </x:c>
      <x:c r="E314" s="4" t="s">
        <x:v>21</x:v>
      </x:c>
      <x:c r="F314" s="4">
        <x:v>10.0</x:v>
      </x:c>
      <x:c r="G314" s="4">
        <x:v>10.0</x:v>
      </x:c>
      <x:c r="H314" s="4">
        <x:v>0.0</x:v>
      </x:c>
      <x:c r="I314" s="4">
        <x:v>11.0</x:v>
      </x:c>
      <x:c r="J314" s="4">
        <x:v>11.0</x:v>
      </x:c>
      <x:c r="K314" s="4">
        <x:v>0.0</x:v>
      </x:c>
      <x:c r="L314" s="4">
        <x:v>22.0</x:v>
      </x:c>
      <x:c r="M314" s="4">
        <x:v>27.0</x:v>
      </x:c>
    </x:row>
    <x:row r="315" ht="15.75" customHeight="1">
      <x:c r="A315" s="4">
        <x:v>779.0</x:v>
      </x:c>
      <x:c r="B315" s="4" t="s">
        <x:v>301</x:v>
      </x:c>
      <x:c r="C315" s="4" t="s">
        <x:v>313</x:v>
      </x:c>
      <x:c r="D315" s="4" t="s">
        <x:v>369</x:v>
      </x:c>
      <x:c r="E315" s="4" t="s">
        <x:v>25</x:v>
      </x:c>
      <x:c r="F315" s="4">
        <x:v>10.0</x:v>
      </x:c>
      <x:c r="G315" s="4">
        <x:v>9.0</x:v>
      </x:c>
      <x:c r="H315" s="4">
        <x:v>1.0</x:v>
      </x:c>
      <x:c r="I315" s="4">
        <x:v>10.0</x:v>
      </x:c>
      <x:c r="J315" s="4">
        <x:v>9.0</x:v>
      </x:c>
      <x:c r="K315" s="4">
        <x:v>1.0</x:v>
      </x:c>
      <x:c r="L315" s="4">
        <x:v>23.0</x:v>
      </x:c>
      <x:c r="M315" s="4">
        <x:v>25.0</x:v>
      </x:c>
    </x:row>
    <x:row r="316" ht="15.75" customHeight="1">
      <x:c r="A316" s="4">
        <x:v>530.0</x:v>
      </x:c>
      <x:c r="B316" s="4" t="s">
        <x:v>301</x:v>
      </x:c>
      <x:c r="C316" s="4" t="s">
        <x:v>307</x:v>
      </x:c>
      <x:c r="D316" s="4" t="s">
        <x:v>370</x:v>
      </x:c>
      <x:c r="E316" s="4" t="s">
        <x:v>25</x:v>
      </x:c>
      <x:c r="F316" s="4">
        <x:v>10.0</x:v>
      </x:c>
      <x:c r="G316" s="4">
        <x:v>11.0</x:v>
      </x:c>
      <x:c r="H316" s="4">
        <x:v>-1.0</x:v>
      </x:c>
      <x:c r="I316" s="4">
        <x:v>10.0</x:v>
      </x:c>
      <x:c r="J316" s="4">
        <x:v>11.0</x:v>
      </x:c>
      <x:c r="K316" s="4">
        <x:v>-1.0</x:v>
      </x:c>
      <x:c r="L316" s="4">
        <x:v>20.0</x:v>
      </x:c>
      <x:c r="M316" s="4">
        <x:v>20.0</x:v>
      </x:c>
    </x:row>
    <x:row r="317" ht="15.75" customHeight="1">
      <x:c r="A317" s="4">
        <x:v>6684.0</x:v>
      </x:c>
      <x:c r="B317" s="4" t="s">
        <x:v>301</x:v>
      </x:c>
      <x:c r="C317" s="4" t="s">
        <x:v>307</x:v>
      </x:c>
      <x:c r="D317" s="4" t="s">
        <x:v>371</x:v>
      </x:c>
      <x:c r="E317" s="4" t="s">
        <x:v>51</x:v>
      </x:c>
      <x:c r="F317" s="4">
        <x:v>10.0</x:v>
      </x:c>
      <x:c r="G317" s="4">
        <x:v>10.0</x:v>
      </x:c>
      <x:c r="H317" s="4">
        <x:v>0.0</x:v>
      </x:c>
      <x:c r="I317" s="4">
        <x:v>10.0</x:v>
      </x:c>
      <x:c r="J317" s="4">
        <x:v>10.0</x:v>
      </x:c>
      <x:c r="K317" s="4">
        <x:v>0.0</x:v>
      </x:c>
      <x:c r="L317" s="4">
        <x:v>21.0</x:v>
      </x:c>
      <x:c r="M317" s="4">
        <x:v>21.0</x:v>
      </x:c>
    </x:row>
    <x:row r="318" ht="15.75" customHeight="1">
      <x:c r="A318" s="4">
        <x:v>2839.0</x:v>
      </x:c>
      <x:c r="B318" s="4" t="s">
        <x:v>301</x:v>
      </x:c>
      <x:c r="C318" s="4" t="s">
        <x:v>302</x:v>
      </x:c>
      <x:c r="D318" s="4" t="s">
        <x:v>372</x:v>
      </x:c>
      <x:c r="E318" s="4" t="s">
        <x:v>43</x:v>
      </x:c>
      <x:c r="F318" s="4">
        <x:v>10.0</x:v>
      </x:c>
      <x:c r="G318" s="4">
        <x:v>11.0</x:v>
      </x:c>
      <x:c r="H318" s="4">
        <x:v>-1.0</x:v>
      </x:c>
      <x:c r="I318" s="4">
        <x:v>9.0</x:v>
      </x:c>
      <x:c r="J318" s="4">
        <x:v>10.0</x:v>
      </x:c>
      <x:c r="K318" s="4">
        <x:v>-1.0</x:v>
      </x:c>
      <x:c r="L318" s="4">
        <x:v>22.0</x:v>
      </x:c>
      <x:c r="M318" s="4">
        <x:v>22.0</x:v>
      </x:c>
    </x:row>
    <x:row r="319" ht="15.75" customHeight="1">
      <x:c r="A319" s="4">
        <x:v>6252.0</x:v>
      </x:c>
      <x:c r="B319" s="4" t="s">
        <x:v>301</x:v>
      </x:c>
      <x:c r="C319" s="4" t="s">
        <x:v>307</x:v>
      </x:c>
      <x:c r="D319" s="4" t="s">
        <x:v>373</x:v>
      </x:c>
      <x:c r="E319" s="4" t="s">
        <x:v>39</x:v>
      </x:c>
      <x:c r="F319" s="4">
        <x:v>9.0</x:v>
      </x:c>
      <x:c r="G319" s="4">
        <x:v>9.0</x:v>
      </x:c>
      <x:c r="H319" s="4">
        <x:v>0.0</x:v>
      </x:c>
      <x:c r="I319" s="4">
        <x:v>9.0</x:v>
      </x:c>
      <x:c r="J319" s="4">
        <x:v>9.0</x:v>
      </x:c>
      <x:c r="K319" s="4">
        <x:v>0.0</x:v>
      </x:c>
      <x:c r="L319" s="4">
        <x:v>27.0</x:v>
      </x:c>
      <x:c r="M319" s="4">
        <x:v>27.0</x:v>
      </x:c>
    </x:row>
    <x:row r="320" ht="15.75" customHeight="1">
      <x:c r="A320" s="4">
        <x:v>7132.0</x:v>
      </x:c>
      <x:c r="B320" s="4" t="s">
        <x:v>301</x:v>
      </x:c>
      <x:c r="C320" s="4" t="s">
        <x:v>313</x:v>
      </x:c>
      <x:c r="D320" s="4" t="s">
        <x:v>374</x:v>
      </x:c>
      <x:c r="E320" s="4" t="s">
        <x:v>47</x:v>
      </x:c>
      <x:c r="F320" s="4">
        <x:v>9.0</x:v>
      </x:c>
      <x:c r="G320" s="4">
        <x:v>8.0</x:v>
      </x:c>
      <x:c r="H320" s="4">
        <x:v>1.0</x:v>
      </x:c>
      <x:c r="I320" s="4">
        <x:v>10.0</x:v>
      </x:c>
      <x:c r="J320" s="4">
        <x:v>9.0</x:v>
      </x:c>
      <x:c r="K320" s="4">
        <x:v>1.0</x:v>
      </x:c>
      <x:c r="L320" s="4">
        <x:v>23.0</x:v>
      </x:c>
      <x:c r="M320" s="4">
        <x:v>28.0</x:v>
      </x:c>
    </x:row>
    <x:row r="321" ht="15.75" customHeight="1">
      <x:c r="A321" s="4">
        <x:v>5791.0</x:v>
      </x:c>
      <x:c r="B321" s="4" t="s">
        <x:v>301</x:v>
      </x:c>
      <x:c r="C321" s="4" t="s">
        <x:v>313</x:v>
      </x:c>
      <x:c r="D321" s="4" t="s">
        <x:v>375</x:v>
      </x:c>
      <x:c r="E321" s="4" t="s">
        <x:v>37</x:v>
      </x:c>
      <x:c r="F321" s="4">
        <x:v>9.0</x:v>
      </x:c>
      <x:c r="G321" s="4">
        <x:v>9.0</x:v>
      </x:c>
      <x:c r="H321" s="4">
        <x:v>0.0</x:v>
      </x:c>
      <x:c r="I321" s="4">
        <x:v>10.0</x:v>
      </x:c>
      <x:c r="J321" s="4">
        <x:v>10.0</x:v>
      </x:c>
      <x:c r="K321" s="4">
        <x:v>0.0</x:v>
      </x:c>
      <x:c r="L321" s="4">
        <x:v>21.0</x:v>
      </x:c>
      <x:c r="M321" s="4">
        <x:v>24.0</x:v>
      </x:c>
    </x:row>
    <x:row r="322" ht="15.75" customHeight="1">
      <x:c r="A322" s="4">
        <x:v>7070.0</x:v>
      </x:c>
      <x:c r="B322" s="4" t="s">
        <x:v>301</x:v>
      </x:c>
      <x:c r="C322" s="4" t="s">
        <x:v>301</x:v>
      </x:c>
      <x:c r="D322" s="4" t="s">
        <x:v>376</x:v>
      </x:c>
      <x:c r="E322" s="4" t="s">
        <x:v>19</x:v>
      </x:c>
      <x:c r="F322" s="4">
        <x:v>9.0</x:v>
      </x:c>
      <x:c r="G322" s="4">
        <x:v>9.0</x:v>
      </x:c>
      <x:c r="H322" s="4">
        <x:v>0.0</x:v>
      </x:c>
      <x:c r="I322" s="4">
        <x:v>9.0</x:v>
      </x:c>
      <x:c r="J322" s="4">
        <x:v>9.0</x:v>
      </x:c>
      <x:c r="K322" s="4">
        <x:v>0.0</x:v>
      </x:c>
      <x:c r="L322" s="4">
        <x:v>26.0</x:v>
      </x:c>
      <x:c r="M322" s="4">
        <x:v>26.0</x:v>
      </x:c>
    </x:row>
    <x:row r="323" ht="15.75" customHeight="1">
      <x:c r="A323" s="4">
        <x:v>2529.0</x:v>
      </x:c>
      <x:c r="B323" s="4" t="s">
        <x:v>301</x:v>
      </x:c>
      <x:c r="C323" s="4" t="s">
        <x:v>307</x:v>
      </x:c>
      <x:c r="D323" s="4" t="s">
        <x:v>377</x:v>
      </x:c>
      <x:c r="E323" s="4" t="s">
        <x:v>19</x:v>
      </x:c>
      <x:c r="F323" s="4">
        <x:v>9.0</x:v>
      </x:c>
      <x:c r="G323" s="4">
        <x:v>9.0</x:v>
      </x:c>
      <x:c r="H323" s="4">
        <x:v>0.0</x:v>
      </x:c>
      <x:c r="I323" s="4">
        <x:v>9.0</x:v>
      </x:c>
      <x:c r="J323" s="4">
        <x:v>9.0</x:v>
      </x:c>
      <x:c r="K323" s="4">
        <x:v>0.0</x:v>
      </x:c>
      <x:c r="L323" s="4">
        <x:v>35.0</x:v>
      </x:c>
      <x:c r="M323" s="4">
        <x:v>35.0</x:v>
      </x:c>
    </x:row>
    <x:row r="324" ht="15.75" customHeight="1">
      <x:c r="A324" s="4">
        <x:v>4973.0</x:v>
      </x:c>
      <x:c r="B324" s="4" t="s">
        <x:v>301</x:v>
      </x:c>
      <x:c r="C324" s="4" t="s">
        <x:v>313</x:v>
      </x:c>
      <x:c r="D324" s="4" t="s">
        <x:v>378</x:v>
      </x:c>
      <x:c r="E324" s="4" t="s">
        <x:v>17</x:v>
      </x:c>
      <x:c r="F324" s="4">
        <x:v>9.0</x:v>
      </x:c>
      <x:c r="G324" s="4">
        <x:v>10.0</x:v>
      </x:c>
      <x:c r="H324" s="4">
        <x:v>-1.0</x:v>
      </x:c>
      <x:c r="I324" s="4">
        <x:v>10.0</x:v>
      </x:c>
      <x:c r="J324" s="4">
        <x:v>11.0</x:v>
      </x:c>
      <x:c r="K324" s="4">
        <x:v>-1.0</x:v>
      </x:c>
      <x:c r="L324" s="4">
        <x:v>14.0</x:v>
      </x:c>
      <x:c r="M324" s="4">
        <x:v>19.0</x:v>
      </x:c>
    </x:row>
    <x:row r="325" ht="15.75" customHeight="1">
      <x:c r="A325" s="4">
        <x:v>6634.0</x:v>
      </x:c>
      <x:c r="B325" s="4" t="s">
        <x:v>301</x:v>
      </x:c>
      <x:c r="C325" s="4" t="s">
        <x:v>316</x:v>
      </x:c>
      <x:c r="D325" s="4" t="s">
        <x:v>379</x:v>
      </x:c>
      <x:c r="E325" s="4" t="s">
        <x:v>43</x:v>
      </x:c>
      <x:c r="F325" s="4">
        <x:v>9.0</x:v>
      </x:c>
      <x:c r="G325" s="4">
        <x:v>9.0</x:v>
      </x:c>
      <x:c r="H325" s="4">
        <x:v>0.0</x:v>
      </x:c>
      <x:c r="I325" s="4">
        <x:v>8.0</x:v>
      </x:c>
      <x:c r="J325" s="4">
        <x:v>8.0</x:v>
      </x:c>
      <x:c r="K325" s="4">
        <x:v>0.0</x:v>
      </x:c>
      <x:c r="L325" s="4">
        <x:v>19.0</x:v>
      </x:c>
      <x:c r="M325" s="4">
        <x:v>17.0</x:v>
      </x:c>
    </x:row>
    <x:row r="326" ht="15.75" customHeight="1">
      <x:c r="A326" s="4">
        <x:v>4199.0</x:v>
      </x:c>
      <x:c r="B326" s="4" t="s">
        <x:v>301</x:v>
      </x:c>
      <x:c r="C326" s="4" t="s">
        <x:v>307</x:v>
      </x:c>
      <x:c r="D326" s="4" t="s">
        <x:v>380</x:v>
      </x:c>
      <x:c r="E326" s="4" t="s">
        <x:v>21</x:v>
      </x:c>
      <x:c r="F326" s="4">
        <x:v>9.0</x:v>
      </x:c>
      <x:c r="G326" s="4">
        <x:v>8.0</x:v>
      </x:c>
      <x:c r="H326" s="4">
        <x:v>1.0</x:v>
      </x:c>
      <x:c r="I326" s="4">
        <x:v>9.0</x:v>
      </x:c>
      <x:c r="J326" s="4">
        <x:v>8.0</x:v>
      </x:c>
      <x:c r="K326" s="4">
        <x:v>1.0</x:v>
      </x:c>
      <x:c r="L326" s="4">
        <x:v>21.0</x:v>
      </x:c>
      <x:c r="M326" s="4">
        <x:v>21.0</x:v>
      </x:c>
    </x:row>
    <x:row r="327" ht="15.75" customHeight="1">
      <x:c r="A327" s="4">
        <x:v>4287.0</x:v>
      </x:c>
      <x:c r="B327" s="4" t="s">
        <x:v>301</x:v>
      </x:c>
      <x:c r="C327" s="4" t="s">
        <x:v>313</x:v>
      </x:c>
      <x:c r="D327" s="4" t="s">
        <x:v>381</x:v>
      </x:c>
      <x:c r="E327" s="4" t="s">
        <x:v>23</x:v>
      </x:c>
      <x:c r="F327" s="4">
        <x:v>9.0</x:v>
      </x:c>
      <x:c r="G327" s="4">
        <x:v>9.0</x:v>
      </x:c>
      <x:c r="H327" s="4">
        <x:v>0.0</x:v>
      </x:c>
      <x:c r="I327" s="4">
        <x:v>10.0</x:v>
      </x:c>
      <x:c r="J327" s="4">
        <x:v>10.0</x:v>
      </x:c>
      <x:c r="K327" s="4">
        <x:v>0.0</x:v>
      </x:c>
      <x:c r="L327" s="4">
        <x:v>24.0</x:v>
      </x:c>
      <x:c r="M327" s="4">
        <x:v>29.0</x:v>
      </x:c>
    </x:row>
    <x:row r="328" ht="15.75" customHeight="1">
      <x:c r="A328" s="4">
        <x:v>6271.0</x:v>
      </x:c>
      <x:c r="B328" s="4" t="s">
        <x:v>301</x:v>
      </x:c>
      <x:c r="C328" s="4" t="s">
        <x:v>313</x:v>
      </x:c>
      <x:c r="D328" s="4" t="s">
        <x:v>382</x:v>
      </x:c>
      <x:c r="E328" s="4" t="s">
        <x:v>25</x:v>
      </x:c>
      <x:c r="F328" s="4">
        <x:v>9.0</x:v>
      </x:c>
      <x:c r="G328" s="4">
        <x:v>9.0</x:v>
      </x:c>
      <x:c r="H328" s="4">
        <x:v>0.0</x:v>
      </x:c>
      <x:c r="I328" s="4">
        <x:v>9.0</x:v>
      </x:c>
      <x:c r="J328" s="4">
        <x:v>9.0</x:v>
      </x:c>
      <x:c r="K328" s="4">
        <x:v>0.0</x:v>
      </x:c>
      <x:c r="L328" s="4">
        <x:v>22.0</x:v>
      </x:c>
      <x:c r="M328" s="4">
        <x:v>27.0</x:v>
      </x:c>
    </x:row>
    <x:row r="329" ht="15.75" customHeight="1">
      <x:c r="A329" s="4">
        <x:v>6889.0</x:v>
      </x:c>
      <x:c r="B329" s="4" t="s">
        <x:v>301</x:v>
      </x:c>
      <x:c r="C329" s="4" t="s">
        <x:v>307</x:v>
      </x:c>
      <x:c r="D329" s="4" t="s">
        <x:v>383</x:v>
      </x:c>
      <x:c r="E329" s="4" t="s">
        <x:v>41</x:v>
      </x:c>
      <x:c r="F329" s="4">
        <x:v>9.0</x:v>
      </x:c>
      <x:c r="G329" s="4">
        <x:v>10.0</x:v>
      </x:c>
      <x:c r="H329" s="4">
        <x:v>-1.0</x:v>
      </x:c>
      <x:c r="I329" s="4">
        <x:v>9.0</x:v>
      </x:c>
      <x:c r="J329" s="4">
        <x:v>10.0</x:v>
      </x:c>
      <x:c r="K329" s="4">
        <x:v>-1.0</x:v>
      </x:c>
      <x:c r="L329" s="4">
        <x:v>23.0</x:v>
      </x:c>
      <x:c r="M329" s="4">
        <x:v>23.0</x:v>
      </x:c>
    </x:row>
    <x:row r="330" ht="15.75" customHeight="1">
      <x:c r="A330" s="4">
        <x:v>5850.0</x:v>
      </x:c>
      <x:c r="B330" s="4" t="s">
        <x:v>301</x:v>
      </x:c>
      <x:c r="C330" s="4" t="s">
        <x:v>301</x:v>
      </x:c>
      <x:c r="D330" s="4" t="s">
        <x:v>384</x:v>
      </x:c>
      <x:c r="E330" s="4" t="s">
        <x:v>51</x:v>
      </x:c>
      <x:c r="F330" s="4">
        <x:v>9.0</x:v>
      </x:c>
      <x:c r="G330" s="4">
        <x:v>9.0</x:v>
      </x:c>
      <x:c r="H330" s="4">
        <x:v>0.0</x:v>
      </x:c>
      <x:c r="I330" s="4">
        <x:v>9.0</x:v>
      </x:c>
      <x:c r="J330" s="4">
        <x:v>9.0</x:v>
      </x:c>
      <x:c r="K330" s="4">
        <x:v>0.0</x:v>
      </x:c>
      <x:c r="L330" s="4">
        <x:v>25.0</x:v>
      </x:c>
      <x:c r="M330" s="4">
        <x:v>25.0</x:v>
      </x:c>
    </x:row>
    <x:row r="331" ht="15.75" customHeight="1">
      <x:c r="A331" s="4">
        <x:v>4349.0</x:v>
      </x:c>
      <x:c r="B331" s="4" t="s">
        <x:v>301</x:v>
      </x:c>
      <x:c r="C331" s="4" t="s">
        <x:v>313</x:v>
      </x:c>
      <x:c r="D331" s="4" t="s">
        <x:v>385</x:v>
      </x:c>
      <x:c r="E331" s="4" t="s">
        <x:v>29</x:v>
      </x:c>
      <x:c r="F331" s="4">
        <x:v>9.0</x:v>
      </x:c>
      <x:c r="G331" s="4">
        <x:v>9.0</x:v>
      </x:c>
      <x:c r="H331" s="4">
        <x:v>0.0</x:v>
      </x:c>
      <x:c r="I331" s="4">
        <x:v>10.0</x:v>
      </x:c>
      <x:c r="J331" s="4">
        <x:v>10.0</x:v>
      </x:c>
      <x:c r="K331" s="4">
        <x:v>0.0</x:v>
      </x:c>
      <x:c r="L331" s="4">
        <x:v>23.0</x:v>
      </x:c>
      <x:c r="M331" s="4">
        <x:v>28.0</x:v>
      </x:c>
    </x:row>
    <x:row r="332" ht="15.75" customHeight="1">
      <x:c r="A332" s="4">
        <x:v>4896.0</x:v>
      </x:c>
      <x:c r="B332" s="4" t="s">
        <x:v>301</x:v>
      </x:c>
      <x:c r="C332" s="4" t="s">
        <x:v>304</x:v>
      </x:c>
      <x:c r="D332" s="4" t="s">
        <x:v>386</x:v>
      </x:c>
      <x:c r="E332" s="4" t="s">
        <x:v>27</x:v>
      </x:c>
      <x:c r="F332" s="4">
        <x:v>8.0</x:v>
      </x:c>
      <x:c r="G332" s="4">
        <x:v>9.0</x:v>
      </x:c>
      <x:c r="H332" s="4">
        <x:v>-1.0</x:v>
      </x:c>
      <x:c r="I332" s="4">
        <x:v>7.0</x:v>
      </x:c>
      <x:c r="J332" s="4">
        <x:v>8.0</x:v>
      </x:c>
      <x:c r="K332" s="4">
        <x:v>-1.0</x:v>
      </x:c>
      <x:c r="L332" s="4">
        <x:v>24.0</x:v>
      </x:c>
      <x:c r="M332" s="4">
        <x:v>24.0</x:v>
      </x:c>
    </x:row>
    <x:row r="333" ht="15.75" customHeight="1">
      <x:c r="A333" s="4">
        <x:v>184.0</x:v>
      </x:c>
      <x:c r="B333" s="4" t="s">
        <x:v>301</x:v>
      </x:c>
      <x:c r="C333" s="4" t="s">
        <x:v>302</x:v>
      </x:c>
      <x:c r="D333" s="4" t="s">
        <x:v>387</x:v>
      </x:c>
      <x:c r="E333" s="4" t="s">
        <x:v>33</x:v>
      </x:c>
      <x:c r="F333" s="4">
        <x:v>8.0</x:v>
      </x:c>
      <x:c r="G333" s="4">
        <x:v>9.0</x:v>
      </x:c>
      <x:c r="H333" s="4">
        <x:v>-1.0</x:v>
      </x:c>
      <x:c r="I333" s="4">
        <x:v>7.0</x:v>
      </x:c>
      <x:c r="J333" s="4">
        <x:v>8.0</x:v>
      </x:c>
      <x:c r="K333" s="4">
        <x:v>-1.0</x:v>
      </x:c>
      <x:c r="L333" s="4">
        <x:v>22.0</x:v>
      </x:c>
      <x:c r="M333" s="4">
        <x:v>22.0</x:v>
      </x:c>
    </x:row>
    <x:row r="334" ht="15.75" customHeight="1">
      <x:c r="A334" s="4">
        <x:v>4364.0</x:v>
      </x:c>
      <x:c r="B334" s="4" t="s">
        <x:v>301</x:v>
      </x:c>
      <x:c r="C334" s="4" t="s">
        <x:v>310</x:v>
      </x:c>
      <x:c r="D334" s="4" t="s">
        <x:v>388</x:v>
      </x:c>
      <x:c r="E334" s="4" t="s">
        <x:v>39</x:v>
      </x:c>
      <x:c r="F334" s="4">
        <x:v>8.0</x:v>
      </x:c>
      <x:c r="G334" s="4">
        <x:v>8.0</x:v>
      </x:c>
      <x:c r="H334" s="4">
        <x:v>0.0</x:v>
      </x:c>
      <x:c r="I334" s="4">
        <x:v>8.0</x:v>
      </x:c>
      <x:c r="J334" s="4">
        <x:v>7.0</x:v>
      </x:c>
      <x:c r="K334" s="4">
        <x:v>1.0</x:v>
      </x:c>
      <x:c r="L334" s="4">
        <x:v>17.0</x:v>
      </x:c>
      <x:c r="M334" s="4">
        <x:v>14.0</x:v>
      </x:c>
    </x:row>
    <x:row r="335" ht="15.75" customHeight="1">
      <x:c r="A335" s="4">
        <x:v>6151.0</x:v>
      </x:c>
      <x:c r="B335" s="4" t="s">
        <x:v>301</x:v>
      </x:c>
      <x:c r="C335" s="4" t="s">
        <x:v>313</x:v>
      </x:c>
      <x:c r="D335" s="4" t="s">
        <x:v>389</x:v>
      </x:c>
      <x:c r="E335" s="4" t="s">
        <x:v>35</x:v>
      </x:c>
      <x:c r="F335" s="4">
        <x:v>8.0</x:v>
      </x:c>
      <x:c r="G335" s="4">
        <x:v>8.0</x:v>
      </x:c>
      <x:c r="H335" s="4">
        <x:v>0.0</x:v>
      </x:c>
      <x:c r="I335" s="4">
        <x:v>9.0</x:v>
      </x:c>
      <x:c r="J335" s="4">
        <x:v>9.0</x:v>
      </x:c>
      <x:c r="K335" s="4">
        <x:v>0.0</x:v>
      </x:c>
      <x:c r="L335" s="4">
        <x:v>19.0</x:v>
      </x:c>
      <x:c r="M335" s="4">
        <x:v>21.0</x:v>
      </x:c>
    </x:row>
    <x:row r="336" ht="15.75" customHeight="1">
      <x:c r="A336" s="4">
        <x:v>7126.0</x:v>
      </x:c>
      <x:c r="B336" s="4" t="s">
        <x:v>301</x:v>
      </x:c>
      <x:c r="C336" s="4" t="s">
        <x:v>310</x:v>
      </x:c>
      <x:c r="D336" s="4" t="s">
        <x:v>390</x:v>
      </x:c>
      <x:c r="E336" s="4" t="s">
        <x:v>35</x:v>
      </x:c>
      <x:c r="F336" s="4">
        <x:v>8.0</x:v>
      </x:c>
      <x:c r="G336" s="4">
        <x:v>9.0</x:v>
      </x:c>
      <x:c r="H336" s="4">
        <x:v>-1.0</x:v>
      </x:c>
      <x:c r="I336" s="4">
        <x:v>7.0</x:v>
      </x:c>
      <x:c r="J336" s="4">
        <x:v>8.0</x:v>
      </x:c>
      <x:c r="K336" s="4">
        <x:v>-1.0</x:v>
      </x:c>
      <x:c r="L336" s="4">
        <x:v>21.0</x:v>
      </x:c>
      <x:c r="M336" s="4">
        <x:v>18.0</x:v>
      </x:c>
    </x:row>
    <x:row r="337" ht="15.75" customHeight="1">
      <x:c r="A337" s="4">
        <x:v>4465.0</x:v>
      </x:c>
      <x:c r="B337" s="4" t="s">
        <x:v>301</x:v>
      </x:c>
      <x:c r="C337" s="4" t="s">
        <x:v>301</x:v>
      </x:c>
      <x:c r="D337" s="4" t="s">
        <x:v>391</x:v>
      </x:c>
      <x:c r="E337" s="4" t="s">
        <x:v>29</x:v>
      </x:c>
      <x:c r="F337" s="4">
        <x:v>8.0</x:v>
      </x:c>
      <x:c r="G337" s="4">
        <x:v>8.0</x:v>
      </x:c>
      <x:c r="H337" s="4">
        <x:v>0.0</x:v>
      </x:c>
      <x:c r="I337" s="4">
        <x:v>8.0</x:v>
      </x:c>
      <x:c r="J337" s="4">
        <x:v>8.0</x:v>
      </x:c>
      <x:c r="K337" s="4">
        <x:v>0.0</x:v>
      </x:c>
      <x:c r="L337" s="4">
        <x:v>21.0</x:v>
      </x:c>
      <x:c r="M337" s="4">
        <x:v>21.0</x:v>
      </x:c>
    </x:row>
    <x:row r="338" ht="15.75" customHeight="1">
      <x:c r="A338" s="4">
        <x:v>4427.0</x:v>
      </x:c>
      <x:c r="B338" s="4" t="s">
        <x:v>301</x:v>
      </x:c>
      <x:c r="C338" s="4" t="s">
        <x:v>307</x:v>
      </x:c>
      <x:c r="D338" s="4" t="s">
        <x:v>392</x:v>
      </x:c>
      <x:c r="E338" s="4" t="s">
        <x:v>37</x:v>
      </x:c>
      <x:c r="F338" s="4">
        <x:v>8.0</x:v>
      </x:c>
      <x:c r="G338" s="4">
        <x:v>8.0</x:v>
      </x:c>
      <x:c r="H338" s="4">
        <x:v>0.0</x:v>
      </x:c>
      <x:c r="I338" s="4">
        <x:v>8.0</x:v>
      </x:c>
      <x:c r="J338" s="4">
        <x:v>8.0</x:v>
      </x:c>
      <x:c r="K338" s="4">
        <x:v>0.0</x:v>
      </x:c>
      <x:c r="L338" s="4">
        <x:v>19.0</x:v>
      </x:c>
      <x:c r="M338" s="4">
        <x:v>19.0</x:v>
      </x:c>
    </x:row>
    <x:row r="339" ht="15.75" customHeight="1">
      <x:c r="A339" s="4">
        <x:v>7135.0</x:v>
      </x:c>
      <x:c r="B339" s="4" t="s">
        <x:v>301</x:v>
      </x:c>
      <x:c r="C339" s="4" t="s">
        <x:v>307</x:v>
      </x:c>
      <x:c r="D339" s="4" t="s">
        <x:v>393</x:v>
      </x:c>
      <x:c r="E339" s="4" t="s">
        <x:v>37</x:v>
      </x:c>
      <x:c r="F339" s="4">
        <x:v>8.0</x:v>
      </x:c>
      <x:c r="G339" s="4">
        <x:v>8.0</x:v>
      </x:c>
      <x:c r="H339" s="4">
        <x:v>0.0</x:v>
      </x:c>
      <x:c r="I339" s="4">
        <x:v>8.0</x:v>
      </x:c>
      <x:c r="J339" s="4">
        <x:v>8.0</x:v>
      </x:c>
      <x:c r="K339" s="4">
        <x:v>0.0</x:v>
      </x:c>
      <x:c r="L339" s="4">
        <x:v>26.0</x:v>
      </x:c>
      <x:c r="M339" s="4">
        <x:v>26.0</x:v>
      </x:c>
    </x:row>
    <x:row r="340" ht="15.75" customHeight="1">
      <x:c r="A340" s="4">
        <x:v>4459.0</x:v>
      </x:c>
      <x:c r="B340" s="4" t="s">
        <x:v>301</x:v>
      </x:c>
      <x:c r="C340" s="4" t="s">
        <x:v>313</x:v>
      </x:c>
      <x:c r="D340" s="4" t="s">
        <x:v>394</x:v>
      </x:c>
      <x:c r="E340" s="4" t="s">
        <x:v>31</x:v>
      </x:c>
      <x:c r="F340" s="4">
        <x:v>8.0</x:v>
      </x:c>
      <x:c r="G340" s="4">
        <x:v>8.0</x:v>
      </x:c>
      <x:c r="H340" s="4">
        <x:v>0.0</x:v>
      </x:c>
      <x:c r="I340" s="4">
        <x:v>9.0</x:v>
      </x:c>
      <x:c r="J340" s="4">
        <x:v>9.0</x:v>
      </x:c>
      <x:c r="K340" s="4">
        <x:v>0.0</x:v>
      </x:c>
      <x:c r="L340" s="4">
        <x:v>22.0</x:v>
      </x:c>
      <x:c r="M340" s="4">
        <x:v>24.0</x:v>
      </x:c>
    </x:row>
    <x:row r="341" ht="15.75" customHeight="1">
      <x:c r="A341" s="4">
        <x:v>5504.0</x:v>
      </x:c>
      <x:c r="B341" s="4" t="s">
        <x:v>301</x:v>
      </x:c>
      <x:c r="C341" s="4" t="s">
        <x:v>313</x:v>
      </x:c>
      <x:c r="D341" s="4" t="s">
        <x:v>395</x:v>
      </x:c>
      <x:c r="E341" s="4" t="s">
        <x:v>43</x:v>
      </x:c>
      <x:c r="F341" s="4">
        <x:v>8.0</x:v>
      </x:c>
      <x:c r="G341" s="4">
        <x:v>7.0</x:v>
      </x:c>
      <x:c r="H341" s="4">
        <x:v>1.0</x:v>
      </x:c>
      <x:c r="I341" s="4">
        <x:v>9.0</x:v>
      </x:c>
      <x:c r="J341" s="4">
        <x:v>8.0</x:v>
      </x:c>
      <x:c r="K341" s="4">
        <x:v>1.0</x:v>
      </x:c>
      <x:c r="L341" s="4">
        <x:v>14.0</x:v>
      </x:c>
      <x:c r="M341" s="4">
        <x:v>16.0</x:v>
      </x:c>
    </x:row>
    <x:row r="342" ht="15.75" customHeight="1">
      <x:c r="A342" s="4">
        <x:v>795.0</x:v>
      </x:c>
      <x:c r="B342" s="4" t="s">
        <x:v>301</x:v>
      </x:c>
      <x:c r="C342" s="4" t="s">
        <x:v>316</x:v>
      </x:c>
      <x:c r="D342" s="4" t="s">
        <x:v>396</x:v>
      </x:c>
      <x:c r="E342" s="4" t="s">
        <x:v>25</x:v>
      </x:c>
      <x:c r="F342" s="4">
        <x:v>8.0</x:v>
      </x:c>
      <x:c r="G342" s="4">
        <x:v>8.0</x:v>
      </x:c>
      <x:c r="H342" s="4">
        <x:v>0.0</x:v>
      </x:c>
      <x:c r="I342" s="4">
        <x:v>7.0</x:v>
      </x:c>
      <x:c r="J342" s="4">
        <x:v>7.0</x:v>
      </x:c>
      <x:c r="K342" s="4">
        <x:v>0.0</x:v>
      </x:c>
      <x:c r="L342" s="4">
        <x:v>19.0</x:v>
      </x:c>
      <x:c r="M342" s="4">
        <x:v>17.0</x:v>
      </x:c>
    </x:row>
    <x:row r="343" ht="15.75" customHeight="1">
      <x:c r="A343" s="4">
        <x:v>6908.0</x:v>
      </x:c>
      <x:c r="B343" s="4" t="s">
        <x:v>301</x:v>
      </x:c>
      <x:c r="C343" s="4" t="s">
        <x:v>301</x:v>
      </x:c>
      <x:c r="D343" s="4" t="s">
        <x:v>397</x:v>
      </x:c>
      <x:c r="E343" s="4" t="s">
        <x:v>51</x:v>
      </x:c>
      <x:c r="F343" s="4">
        <x:v>8.0</x:v>
      </x:c>
      <x:c r="G343" s="4">
        <x:v>6.0</x:v>
      </x:c>
      <x:c r="H343" s="4">
        <x:v>2.0</x:v>
      </x:c>
      <x:c r="I343" s="4">
        <x:v>8.0</x:v>
      </x:c>
      <x:c r="J343" s="4">
        <x:v>6.0</x:v>
      </x:c>
      <x:c r="K343" s="4">
        <x:v>2.0</x:v>
      </x:c>
      <x:c r="L343" s="4">
        <x:v>32.0</x:v>
      </x:c>
      <x:c r="M343" s="4">
        <x:v>32.0</x:v>
      </x:c>
    </x:row>
    <x:row r="344" ht="15.75" customHeight="1">
      <x:c r="A344" s="4">
        <x:v>6486.0</x:v>
      </x:c>
      <x:c r="B344" s="4" t="s">
        <x:v>301</x:v>
      </x:c>
      <x:c r="C344" s="4" t="s">
        <x:v>330</x:v>
      </x:c>
      <x:c r="D344" s="4" t="s">
        <x:v>398</x:v>
      </x:c>
      <x:c r="E344" s="4" t="s">
        <x:v>57</x:v>
      </x:c>
      <x:c r="F344" s="4">
        <x:v>8.0</x:v>
      </x:c>
      <x:c r="G344" s="4">
        <x:v>9.0</x:v>
      </x:c>
      <x:c r="H344" s="4">
        <x:v>-1.0</x:v>
      </x:c>
      <x:c r="I344" s="4">
        <x:v>8.0</x:v>
      </x:c>
      <x:c r="J344" s="4">
        <x:v>9.0</x:v>
      </x:c>
      <x:c r="K344" s="4">
        <x:v>-1.0</x:v>
      </x:c>
      <x:c r="L344" s="4">
        <x:v>14.0</x:v>
      </x:c>
      <x:c r="M344" s="4">
        <x:v>14.0</x:v>
      </x:c>
    </x:row>
    <x:row r="345" ht="15.75" customHeight="1">
      <x:c r="A345" s="4">
        <x:v>4947.0</x:v>
      </x:c>
      <x:c r="B345" s="4" t="s">
        <x:v>301</x:v>
      </x:c>
      <x:c r="C345" s="4" t="s">
        <x:v>307</x:v>
      </x:c>
      <x:c r="D345" s="4" t="s">
        <x:v>399</x:v>
      </x:c>
      <x:c r="E345" s="4" t="s">
        <x:v>27</x:v>
      </x:c>
      <x:c r="F345" s="4">
        <x:v>7.0</x:v>
      </x:c>
      <x:c r="G345" s="4">
        <x:v>8.0</x:v>
      </x:c>
      <x:c r="H345" s="4">
        <x:v>-1.0</x:v>
      </x:c>
      <x:c r="I345" s="4">
        <x:v>7.0</x:v>
      </x:c>
      <x:c r="J345" s="4">
        <x:v>8.0</x:v>
      </x:c>
      <x:c r="K345" s="4">
        <x:v>-1.0</x:v>
      </x:c>
      <x:c r="L345" s="4">
        <x:v>23.0</x:v>
      </x:c>
      <x:c r="M345" s="4">
        <x:v>23.0</x:v>
      </x:c>
    </x:row>
    <x:row r="346" ht="15.75" customHeight="1">
      <x:c r="A346" s="4">
        <x:v>5298.0</x:v>
      </x:c>
      <x:c r="B346" s="4" t="s">
        <x:v>301</x:v>
      </x:c>
      <x:c r="C346" s="4" t="s">
        <x:v>313</x:v>
      </x:c>
      <x:c r="D346" s="4" t="s">
        <x:v>400</x:v>
      </x:c>
      <x:c r="E346" s="4" t="s">
        <x:v>33</x:v>
      </x:c>
      <x:c r="F346" s="4">
        <x:v>7.0</x:v>
      </x:c>
      <x:c r="G346" s="4">
        <x:v>8.0</x:v>
      </x:c>
      <x:c r="H346" s="4">
        <x:v>-1.0</x:v>
      </x:c>
      <x:c r="I346" s="4">
        <x:v>8.0</x:v>
      </x:c>
      <x:c r="J346" s="4">
        <x:v>9.0</x:v>
      </x:c>
      <x:c r="K346" s="4">
        <x:v>-1.0</x:v>
      </x:c>
      <x:c r="L346" s="4">
        <x:v>22.0</x:v>
      </x:c>
      <x:c r="M346" s="4">
        <x:v>24.0</x:v>
      </x:c>
    </x:row>
    <x:row r="347" ht="15.75" customHeight="1">
      <x:c r="A347" s="4">
        <x:v>4970.0</x:v>
      </x:c>
      <x:c r="B347" s="4" t="s">
        <x:v>301</x:v>
      </x:c>
      <x:c r="C347" s="4" t="s">
        <x:v>401</x:v>
      </x:c>
      <x:c r="D347" s="4" t="s">
        <x:v>402</x:v>
      </x:c>
      <x:c r="E347" s="4" t="s">
        <x:v>37</x:v>
      </x:c>
      <x:c r="F347" s="4">
        <x:v>7.0</x:v>
      </x:c>
      <x:c r="G347" s="4">
        <x:v>8.0</x:v>
      </x:c>
      <x:c r="H347" s="4">
        <x:v>-1.0</x:v>
      </x:c>
      <x:c r="I347" s="4">
        <x:v>7.0</x:v>
      </x:c>
      <x:c r="J347" s="4">
        <x:v>8.0</x:v>
      </x:c>
      <x:c r="K347" s="4">
        <x:v>-1.0</x:v>
      </x:c>
      <x:c r="L347" s="4">
        <x:v>12.0</x:v>
      </x:c>
      <x:c r="M347" s="4">
        <x:v>12.0</x:v>
      </x:c>
    </x:row>
    <x:row r="348" ht="15.75" customHeight="1">
      <x:c r="A348" s="4">
        <x:v>5422.0</x:v>
      </x:c>
      <x:c r="B348" s="4" t="s">
        <x:v>301</x:v>
      </x:c>
      <x:c r="C348" s="4" t="s">
        <x:v>342</x:v>
      </x:c>
      <x:c r="D348" s="4" t="s">
        <x:v>403</x:v>
      </x:c>
      <x:c r="E348" s="4" t="s">
        <x:v>27</x:v>
      </x:c>
      <x:c r="F348" s="4">
        <x:v>7.0</x:v>
      </x:c>
      <x:c r="G348" s="4">
        <x:v>6.0</x:v>
      </x:c>
      <x:c r="H348" s="4">
        <x:v>1.0</x:v>
      </x:c>
      <x:c r="I348" s="4">
        <x:v>7.0</x:v>
      </x:c>
      <x:c r="J348" s="4">
        <x:v>6.0</x:v>
      </x:c>
      <x:c r="K348" s="4">
        <x:v>1.0</x:v>
      </x:c>
      <x:c r="L348" s="4">
        <x:v>25.0</x:v>
      </x:c>
      <x:c r="M348" s="4">
        <x:v>28.0</x:v>
      </x:c>
    </x:row>
    <x:row r="349" ht="15.75" customHeight="1">
      <x:c r="A349" s="4">
        <x:v>6394.0</x:v>
      </x:c>
      <x:c r="B349" s="4" t="s">
        <x:v>301</x:v>
      </x:c>
      <x:c r="C349" s="4" t="s">
        <x:v>313</x:v>
      </x:c>
      <x:c r="D349" s="4" t="s">
        <x:v>404</x:v>
      </x:c>
      <x:c r="E349" s="4" t="s">
        <x:v>43</x:v>
      </x:c>
      <x:c r="F349" s="4">
        <x:v>7.0</x:v>
      </x:c>
      <x:c r="G349" s="4">
        <x:v>6.0</x:v>
      </x:c>
      <x:c r="H349" s="4">
        <x:v>1.0</x:v>
      </x:c>
      <x:c r="I349" s="4">
        <x:v>7.0</x:v>
      </x:c>
      <x:c r="J349" s="4">
        <x:v>7.0</x:v>
      </x:c>
      <x:c r="K349" s="4">
        <x:v>0.0</x:v>
      </x:c>
      <x:c r="L349" s="4">
        <x:v>11.0</x:v>
      </x:c>
      <x:c r="M349" s="4">
        <x:v>12.0</x:v>
      </x:c>
    </x:row>
    <x:row r="350" ht="15.75" customHeight="1">
      <x:c r="A350" s="4">
        <x:v>5872.0</x:v>
      </x:c>
      <x:c r="B350" s="4" t="s">
        <x:v>301</x:v>
      </x:c>
      <x:c r="C350" s="4" t="s">
        <x:v>307</x:v>
      </x:c>
      <x:c r="D350" s="4" t="s">
        <x:v>405</x:v>
      </x:c>
      <x:c r="E350" s="4" t="s">
        <x:v>43</x:v>
      </x:c>
      <x:c r="F350" s="4">
        <x:v>7.0</x:v>
      </x:c>
      <x:c r="G350" s="4">
        <x:v>8.0</x:v>
      </x:c>
      <x:c r="H350" s="4">
        <x:v>-1.0</x:v>
      </x:c>
      <x:c r="I350" s="4">
        <x:v>7.0</x:v>
      </x:c>
      <x:c r="J350" s="4">
        <x:v>8.0</x:v>
      </x:c>
      <x:c r="K350" s="4">
        <x:v>-1.0</x:v>
      </x:c>
      <x:c r="L350" s="4">
        <x:v>15.0</x:v>
      </x:c>
      <x:c r="M350" s="4">
        <x:v>15.0</x:v>
      </x:c>
    </x:row>
    <x:row r="351" ht="15.75" customHeight="1">
      <x:c r="A351" s="4">
        <x:v>7146.0</x:v>
      </x:c>
      <x:c r="B351" s="4" t="s">
        <x:v>301</x:v>
      </x:c>
      <x:c r="C351" s="4" t="s">
        <x:v>406</x:v>
      </x:c>
      <x:c r="D351" s="4" t="s">
        <x:v>407</x:v>
      </x:c>
      <x:c r="E351" s="4" t="s">
        <x:v>55</x:v>
      </x:c>
      <x:c r="F351" s="4">
        <x:v>7.0</x:v>
      </x:c>
      <x:c r="G351" s="4">
        <x:v>6.0</x:v>
      </x:c>
      <x:c r="H351" s="4">
        <x:v>1.0</x:v>
      </x:c>
      <x:c r="I351" s="4">
        <x:v>8.0</x:v>
      </x:c>
      <x:c r="J351" s="4">
        <x:v>7.0</x:v>
      </x:c>
      <x:c r="K351" s="4">
        <x:v>1.0</x:v>
      </x:c>
      <x:c r="L351" s="4">
        <x:v>23.0</x:v>
      </x:c>
      <x:c r="M351" s="4">
        <x:v>26.0</x:v>
      </x:c>
    </x:row>
    <x:row r="352" ht="15.75" customHeight="1">
      <x:c r="A352" s="4">
        <x:v>5823.0</x:v>
      </x:c>
      <x:c r="B352" s="4" t="s">
        <x:v>301</x:v>
      </x:c>
      <x:c r="C352" s="4" t="s">
        <x:v>304</x:v>
      </x:c>
      <x:c r="D352" s="4" t="s">
        <x:v>408</x:v>
      </x:c>
      <x:c r="E352" s="4" t="s">
        <x:v>25</x:v>
      </x:c>
      <x:c r="F352" s="4">
        <x:v>7.0</x:v>
      </x:c>
      <x:c r="G352" s="4">
        <x:v>8.0</x:v>
      </x:c>
      <x:c r="H352" s="4">
        <x:v>-1.0</x:v>
      </x:c>
      <x:c r="I352" s="4">
        <x:v>7.0</x:v>
      </x:c>
      <x:c r="J352" s="4">
        <x:v>8.0</x:v>
      </x:c>
      <x:c r="K352" s="4">
        <x:v>-1.0</x:v>
      </x:c>
      <x:c r="L352" s="4">
        <x:v>16.0</x:v>
      </x:c>
      <x:c r="M352" s="4">
        <x:v>16.0</x:v>
      </x:c>
    </x:row>
    <x:row r="353" ht="15.75" customHeight="1">
      <x:c r="A353" s="4">
        <x:v>5844.0</x:v>
      </x:c>
      <x:c r="B353" s="4" t="s">
        <x:v>301</x:v>
      </x:c>
      <x:c r="C353" s="4" t="s">
        <x:v>307</x:v>
      </x:c>
      <x:c r="D353" s="4" t="s">
        <x:v>409</x:v>
      </x:c>
      <x:c r="E353" s="4" t="s">
        <x:v>49</x:v>
      </x:c>
      <x:c r="F353" s="4">
        <x:v>7.0</x:v>
      </x:c>
      <x:c r="G353" s="4">
        <x:v>8.0</x:v>
      </x:c>
      <x:c r="H353" s="4">
        <x:v>-1.0</x:v>
      </x:c>
      <x:c r="I353" s="4">
        <x:v>7.0</x:v>
      </x:c>
      <x:c r="J353" s="4">
        <x:v>8.0</x:v>
      </x:c>
      <x:c r="K353" s="4">
        <x:v>-1.0</x:v>
      </x:c>
      <x:c r="L353" s="4">
        <x:v>22.0</x:v>
      </x:c>
      <x:c r="M353" s="4">
        <x:v>22.0</x:v>
      </x:c>
    </x:row>
    <x:row r="354" ht="15.75" customHeight="1">
      <x:c r="A354" s="4">
        <x:v>5007.0</x:v>
      </x:c>
      <x:c r="B354" s="4" t="s">
        <x:v>301</x:v>
      </x:c>
      <x:c r="C354" s="4" t="s">
        <x:v>301</x:v>
      </x:c>
      <x:c r="D354" s="4" t="s">
        <x:v>410</x:v>
      </x:c>
      <x:c r="E354" s="4" t="s">
        <x:v>41</x:v>
      </x:c>
      <x:c r="F354" s="4">
        <x:v>7.0</x:v>
      </x:c>
      <x:c r="G354" s="4">
        <x:v>7.0</x:v>
      </x:c>
      <x:c r="H354" s="4">
        <x:v>0.0</x:v>
      </x:c>
      <x:c r="I354" s="4">
        <x:v>7.0</x:v>
      </x:c>
      <x:c r="J354" s="4">
        <x:v>7.0</x:v>
      </x:c>
      <x:c r="K354" s="4">
        <x:v>0.0</x:v>
      </x:c>
      <x:c r="L354" s="4">
        <x:v>12.0</x:v>
      </x:c>
      <x:c r="M354" s="4">
        <x:v>12.0</x:v>
      </x:c>
    </x:row>
    <x:row r="355" ht="15.75" customHeight="1">
      <x:c r="A355" s="4">
        <x:v>6680.0</x:v>
      </x:c>
      <x:c r="B355" s="4" t="s">
        <x:v>301</x:v>
      </x:c>
      <x:c r="C355" s="4" t="s">
        <x:v>313</x:v>
      </x:c>
      <x:c r="D355" s="4" t="s">
        <x:v>411</x:v>
      </x:c>
      <x:c r="E355" s="4" t="s">
        <x:v>51</x:v>
      </x:c>
      <x:c r="F355" s="4">
        <x:v>7.0</x:v>
      </x:c>
      <x:c r="G355" s="4">
        <x:v>6.0</x:v>
      </x:c>
      <x:c r="H355" s="4">
        <x:v>1.0</x:v>
      </x:c>
      <x:c r="I355" s="4">
        <x:v>7.0</x:v>
      </x:c>
      <x:c r="J355" s="4">
        <x:v>6.0</x:v>
      </x:c>
      <x:c r="K355" s="4">
        <x:v>1.0</x:v>
      </x:c>
      <x:c r="L355" s="4">
        <x:v>14.0</x:v>
      </x:c>
      <x:c r="M355" s="4">
        <x:v>15.0</x:v>
      </x:c>
    </x:row>
    <x:row r="356" ht="15.75" customHeight="1">
      <x:c r="A356" s="4">
        <x:v>5688.0</x:v>
      </x:c>
      <x:c r="B356" s="4" t="s">
        <x:v>301</x:v>
      </x:c>
      <x:c r="C356" s="4" t="s">
        <x:v>330</x:v>
      </x:c>
      <x:c r="D356" s="4" t="s">
        <x:v>412</x:v>
      </x:c>
      <x:c r="E356" s="4" t="s">
        <x:v>57</x:v>
      </x:c>
      <x:c r="F356" s="4">
        <x:v>7.0</x:v>
      </x:c>
      <x:c r="G356" s="4">
        <x:v>7.0</x:v>
      </x:c>
      <x:c r="H356" s="4">
        <x:v>0.0</x:v>
      </x:c>
      <x:c r="I356" s="4">
        <x:v>7.0</x:v>
      </x:c>
      <x:c r="J356" s="4">
        <x:v>7.0</x:v>
      </x:c>
      <x:c r="K356" s="4">
        <x:v>0.0</x:v>
      </x:c>
      <x:c r="L356" s="4">
        <x:v>14.0</x:v>
      </x:c>
      <x:c r="M356" s="4">
        <x:v>14.0</x:v>
      </x:c>
    </x:row>
    <x:row r="357" ht="15.75" customHeight="1">
      <x:c r="A357" s="4">
        <x:v>7254.0</x:v>
      </x:c>
      <x:c r="B357" s="4" t="s">
        <x:v>301</x:v>
      </x:c>
      <x:c r="C357" s="4" t="s">
        <x:v>310</x:v>
      </x:c>
      <x:c r="D357" s="4" t="s">
        <x:v>413</x:v>
      </x:c>
      <x:c r="E357" s="4" t="s">
        <x:v>55</x:v>
      </x:c>
      <x:c r="F357" s="4">
        <x:v>7.0</x:v>
      </x:c>
      <x:c r="G357" s="4">
        <x:v>7.0</x:v>
      </x:c>
      <x:c r="H357" s="4">
        <x:v>0.0</x:v>
      </x:c>
      <x:c r="I357" s="4">
        <x:v>6.0</x:v>
      </x:c>
      <x:c r="J357" s="4">
        <x:v>6.0</x:v>
      </x:c>
      <x:c r="K357" s="4">
        <x:v>0.0</x:v>
      </x:c>
      <x:c r="L357" s="4">
        <x:v>15.0</x:v>
      </x:c>
      <x:c r="M357" s="4">
        <x:v>13.0</x:v>
      </x:c>
    </x:row>
    <x:row r="358" ht="15.75" customHeight="1">
      <x:c r="A358" s="4">
        <x:v>4677.0</x:v>
      </x:c>
      <x:c r="B358" s="4" t="s">
        <x:v>301</x:v>
      </x:c>
      <x:c r="C358" s="4" t="s">
        <x:v>316</x:v>
      </x:c>
      <x:c r="D358" s="4" t="s">
        <x:v>414</x:v>
      </x:c>
      <x:c r="E358" s="4" t="s">
        <x:v>37</x:v>
      </x:c>
      <x:c r="F358" s="4">
        <x:v>7.0</x:v>
      </x:c>
      <x:c r="G358" s="4">
        <x:v>7.0</x:v>
      </x:c>
      <x:c r="H358" s="4">
        <x:v>0.0</x:v>
      </x:c>
      <x:c r="I358" s="4">
        <x:v>7.0</x:v>
      </x:c>
      <x:c r="J358" s="4">
        <x:v>7.0</x:v>
      </x:c>
      <x:c r="K358" s="4">
        <x:v>0.0</x:v>
      </x:c>
      <x:c r="L358" s="4">
        <x:v>20.0</x:v>
      </x:c>
      <x:c r="M358" s="4">
        <x:v>20.0</x:v>
      </x:c>
    </x:row>
    <x:row r="359" ht="15.75" customHeight="1">
      <x:c r="A359" s="4">
        <x:v>4870.0</x:v>
      </x:c>
      <x:c r="B359" s="4" t="s">
        <x:v>301</x:v>
      </x:c>
      <x:c r="C359" s="4" t="s">
        <x:v>313</x:v>
      </x:c>
      <x:c r="D359" s="4" t="s">
        <x:v>415</x:v>
      </x:c>
      <x:c r="E359" s="4" t="s">
        <x:v>39</x:v>
      </x:c>
      <x:c r="F359" s="4">
        <x:v>6.0</x:v>
      </x:c>
      <x:c r="G359" s="4">
        <x:v>5.0</x:v>
      </x:c>
      <x:c r="H359" s="4">
        <x:v>1.0</x:v>
      </x:c>
      <x:c r="I359" s="4">
        <x:v>7.0</x:v>
      </x:c>
      <x:c r="J359" s="4">
        <x:v>6.0</x:v>
      </x:c>
      <x:c r="K359" s="4">
        <x:v>1.0</x:v>
      </x:c>
      <x:c r="L359" s="4">
        <x:v>14.0</x:v>
      </x:c>
      <x:c r="M359" s="4">
        <x:v>15.0</x:v>
      </x:c>
    </x:row>
    <x:row r="360" ht="15.75" customHeight="1">
      <x:c r="A360" s="4">
        <x:v>1871.0</x:v>
      </x:c>
      <x:c r="B360" s="4" t="s">
        <x:v>301</x:v>
      </x:c>
      <x:c r="C360" s="4" t="s">
        <x:v>313</x:v>
      </x:c>
      <x:c r="D360" s="4" t="s">
        <x:v>416</x:v>
      </x:c>
      <x:c r="E360" s="4" t="s">
        <x:v>39</x:v>
      </x:c>
      <x:c r="F360" s="4">
        <x:v>6.0</x:v>
      </x:c>
      <x:c r="G360" s="4">
        <x:v>5.0</x:v>
      </x:c>
      <x:c r="H360" s="4">
        <x:v>1.0</x:v>
      </x:c>
      <x:c r="I360" s="4">
        <x:v>6.0</x:v>
      </x:c>
      <x:c r="J360" s="4">
        <x:v>5.0</x:v>
      </x:c>
      <x:c r="K360" s="4">
        <x:v>1.0</x:v>
      </x:c>
      <x:c r="L360" s="4">
        <x:v>11.0</x:v>
      </x:c>
      <x:c r="M360" s="4">
        <x:v>12.0</x:v>
      </x:c>
    </x:row>
    <x:row r="361" ht="15.75" customHeight="1">
      <x:c r="A361" s="4">
        <x:v>6640.0</x:v>
      </x:c>
      <x:c r="B361" s="4" t="s">
        <x:v>301</x:v>
      </x:c>
      <x:c r="C361" s="4" t="s">
        <x:v>316</x:v>
      </x:c>
      <x:c r="D361" s="4" t="s">
        <x:v>417</x:v>
      </x:c>
      <x:c r="E361" s="4" t="s">
        <x:v>39</x:v>
      </x:c>
      <x:c r="F361" s="4">
        <x:v>6.0</x:v>
      </x:c>
      <x:c r="G361" s="4">
        <x:v>6.0</x:v>
      </x:c>
      <x:c r="H361" s="4">
        <x:v>0.0</x:v>
      </x:c>
      <x:c r="I361" s="4">
        <x:v>4.0</x:v>
      </x:c>
      <x:c r="J361" s="4">
        <x:v>5.0</x:v>
      </x:c>
      <x:c r="K361" s="4">
        <x:v>-1.0</x:v>
      </x:c>
      <x:c r="L361" s="4">
        <x:v>8.0</x:v>
      </x:c>
      <x:c r="M361" s="4">
        <x:v>8.0</x:v>
      </x:c>
    </x:row>
    <x:row r="362" ht="15.75" customHeight="1">
      <x:c r="A362" s="4">
        <x:v>2274.0</x:v>
      </x:c>
      <x:c r="B362" s="4" t="s">
        <x:v>301</x:v>
      </x:c>
      <x:c r="C362" s="4" t="s">
        <x:v>307</x:v>
      </x:c>
      <x:c r="D362" s="4" t="s">
        <x:v>418</x:v>
      </x:c>
      <x:c r="E362" s="4" t="s">
        <x:v>47</x:v>
      </x:c>
      <x:c r="F362" s="4">
        <x:v>6.0</x:v>
      </x:c>
      <x:c r="G362" s="4">
        <x:v>7.0</x:v>
      </x:c>
      <x:c r="H362" s="4">
        <x:v>-1.0</x:v>
      </x:c>
      <x:c r="I362" s="4">
        <x:v>6.0</x:v>
      </x:c>
      <x:c r="J362" s="4">
        <x:v>7.0</x:v>
      </x:c>
      <x:c r="K362" s="4">
        <x:v>-1.0</x:v>
      </x:c>
      <x:c r="L362" s="4">
        <x:v>3.0</x:v>
      </x:c>
      <x:c r="M362" s="4">
        <x:v>3.0</x:v>
      </x:c>
    </x:row>
    <x:row r="363" ht="15.75" customHeight="1">
      <x:c r="A363" s="4">
        <x:v>6917.0</x:v>
      </x:c>
      <x:c r="B363" s="4" t="s">
        <x:v>301</x:v>
      </x:c>
      <x:c r="C363" s="4" t="s">
        <x:v>313</x:v>
      </x:c>
      <x:c r="D363" s="4" t="s">
        <x:v>419</x:v>
      </x:c>
      <x:c r="E363" s="4" t="s">
        <x:v>37</x:v>
      </x:c>
      <x:c r="F363" s="4">
        <x:v>6.0</x:v>
      </x:c>
      <x:c r="G363" s="4">
        <x:v>5.0</x:v>
      </x:c>
      <x:c r="H363" s="4">
        <x:v>1.0</x:v>
      </x:c>
      <x:c r="I363" s="4">
        <x:v>6.0</x:v>
      </x:c>
      <x:c r="J363" s="4">
        <x:v>5.0</x:v>
      </x:c>
      <x:c r="K363" s="4">
        <x:v>1.0</x:v>
      </x:c>
      <x:c r="L363" s="4">
        <x:v>14.0</x:v>
      </x:c>
      <x:c r="M363" s="4">
        <x:v>17.0</x:v>
      </x:c>
    </x:row>
    <x:row r="364" ht="15.75" customHeight="1">
      <x:c r="A364" s="4">
        <x:v>6020.0</x:v>
      </x:c>
      <x:c r="B364" s="4" t="s">
        <x:v>301</x:v>
      </x:c>
      <x:c r="C364" s="4" t="s">
        <x:v>401</x:v>
      </x:c>
      <x:c r="D364" s="4" t="s">
        <x:v>420</x:v>
      </x:c>
      <x:c r="E364" s="4" t="s">
        <x:v>37</x:v>
      </x:c>
      <x:c r="F364" s="4">
        <x:v>6.0</x:v>
      </x:c>
      <x:c r="G364" s="4">
        <x:v>5.0</x:v>
      </x:c>
      <x:c r="H364" s="4">
        <x:v>1.0</x:v>
      </x:c>
      <x:c r="I364" s="4">
        <x:v>6.0</x:v>
      </x:c>
      <x:c r="J364" s="4">
        <x:v>5.0</x:v>
      </x:c>
      <x:c r="K364" s="4">
        <x:v>1.0</x:v>
      </x:c>
      <x:c r="L364" s="4">
        <x:v>13.0</x:v>
      </x:c>
      <x:c r="M364" s="4">
        <x:v>13.0</x:v>
      </x:c>
    </x:row>
    <x:row r="365" ht="15.75" customHeight="1">
      <x:c r="A365" s="4">
        <x:v>5301.0</x:v>
      </x:c>
      <x:c r="B365" s="4" t="s">
        <x:v>301</x:v>
      </x:c>
      <x:c r="C365" s="4" t="s">
        <x:v>342</x:v>
      </x:c>
      <x:c r="D365" s="4" t="s">
        <x:v>421</x:v>
      </x:c>
      <x:c r="E365" s="4" t="s">
        <x:v>19</x:v>
      </x:c>
      <x:c r="F365" s="4">
        <x:v>6.0</x:v>
      </x:c>
      <x:c r="G365" s="4">
        <x:v>7.0</x:v>
      </x:c>
      <x:c r="H365" s="4">
        <x:v>-1.0</x:v>
      </x:c>
      <x:c r="I365" s="4">
        <x:v>6.0</x:v>
      </x:c>
      <x:c r="J365" s="4">
        <x:v>7.0</x:v>
      </x:c>
      <x:c r="K365" s="4">
        <x:v>-1.0</x:v>
      </x:c>
      <x:c r="L365" s="4">
        <x:v>14.0</x:v>
      </x:c>
      <x:c r="M365" s="4">
        <x:v>15.0</x:v>
      </x:c>
    </x:row>
    <x:row r="366" ht="15.75" customHeight="1">
      <x:c r="A366" s="4">
        <x:v>181.0</x:v>
      </x:c>
      <x:c r="B366" s="4" t="s">
        <x:v>301</x:v>
      </x:c>
      <x:c r="C366" s="4" t="s">
        <x:v>313</x:v>
      </x:c>
      <x:c r="D366" s="4" t="s">
        <x:v>422</x:v>
      </x:c>
      <x:c r="E366" s="4" t="s">
        <x:v>31</x:v>
      </x:c>
      <x:c r="F366" s="4">
        <x:v>6.0</x:v>
      </x:c>
      <x:c r="G366" s="4">
        <x:v>6.0</x:v>
      </x:c>
      <x:c r="H366" s="4">
        <x:v>0.0</x:v>
      </x:c>
      <x:c r="I366" s="4">
        <x:v>6.0</x:v>
      </x:c>
      <x:c r="J366" s="4">
        <x:v>6.0</x:v>
      </x:c>
      <x:c r="K366" s="4">
        <x:v>0.0</x:v>
      </x:c>
      <x:c r="L366" s="4">
        <x:v>14.0</x:v>
      </x:c>
      <x:c r="M366" s="4">
        <x:v>15.0</x:v>
      </x:c>
    </x:row>
    <x:row r="367" ht="15.75" customHeight="1">
      <x:c r="A367" s="4">
        <x:v>5457.0</x:v>
      </x:c>
      <x:c r="B367" s="4" t="s">
        <x:v>301</x:v>
      </x:c>
      <x:c r="C367" s="4" t="s">
        <x:v>313</x:v>
      </x:c>
      <x:c r="D367" s="4" t="s">
        <x:v>423</x:v>
      </x:c>
      <x:c r="E367" s="4" t="s">
        <x:v>43</x:v>
      </x:c>
      <x:c r="F367" s="4">
        <x:v>6.0</x:v>
      </x:c>
      <x:c r="G367" s="4">
        <x:v>6.0</x:v>
      </x:c>
      <x:c r="H367" s="4">
        <x:v>0.0</x:v>
      </x:c>
      <x:c r="I367" s="4">
        <x:v>6.0</x:v>
      </x:c>
      <x:c r="J367" s="4">
        <x:v>7.0</x:v>
      </x:c>
      <x:c r="K367" s="4">
        <x:v>-1.0</x:v>
      </x:c>
      <x:c r="L367" s="4">
        <x:v>6.0</x:v>
      </x:c>
      <x:c r="M367" s="4">
        <x:v>8.0</x:v>
      </x:c>
    </x:row>
    <x:row r="368" ht="15.75" customHeight="1">
      <x:c r="A368" s="4">
        <x:v>6633.0</x:v>
      </x:c>
      <x:c r="B368" s="4" t="s">
        <x:v>301</x:v>
      </x:c>
      <x:c r="C368" s="4" t="s">
        <x:v>313</x:v>
      </x:c>
      <x:c r="D368" s="4" t="s">
        <x:v>424</x:v>
      </x:c>
      <x:c r="E368" s="4" t="s">
        <x:v>43</x:v>
      </x:c>
      <x:c r="F368" s="4">
        <x:v>6.0</x:v>
      </x:c>
      <x:c r="G368" s="4">
        <x:v>6.0</x:v>
      </x:c>
      <x:c r="H368" s="4">
        <x:v>0.0</x:v>
      </x:c>
      <x:c r="I368" s="4">
        <x:v>6.0</x:v>
      </x:c>
      <x:c r="J368" s="4">
        <x:v>7.0</x:v>
      </x:c>
      <x:c r="K368" s="4">
        <x:v>-1.0</x:v>
      </x:c>
      <x:c r="L368" s="4">
        <x:v>12.0</x:v>
      </x:c>
      <x:c r="M368" s="4">
        <x:v>13.0</x:v>
      </x:c>
    </x:row>
    <x:row r="369" ht="15.75" customHeight="1">
      <x:c r="A369" s="4">
        <x:v>5295.0</x:v>
      </x:c>
      <x:c r="B369" s="4" t="s">
        <x:v>301</x:v>
      </x:c>
      <x:c r="C369" s="4" t="s">
        <x:v>401</x:v>
      </x:c>
      <x:c r="D369" s="4" t="s">
        <x:v>425</x:v>
      </x:c>
      <x:c r="E369" s="4" t="s">
        <x:v>27</x:v>
      </x:c>
      <x:c r="F369" s="4">
        <x:v>6.0</x:v>
      </x:c>
      <x:c r="G369" s="4">
        <x:v>6.0</x:v>
      </x:c>
      <x:c r="H369" s="4">
        <x:v>0.0</x:v>
      </x:c>
      <x:c r="I369" s="4">
        <x:v>6.0</x:v>
      </x:c>
      <x:c r="J369" s="4">
        <x:v>6.0</x:v>
      </x:c>
      <x:c r="K369" s="4">
        <x:v>0.0</x:v>
      </x:c>
      <x:c r="L369" s="4">
        <x:v>9.0</x:v>
      </x:c>
      <x:c r="M369" s="4">
        <x:v>9.0</x:v>
      </x:c>
    </x:row>
    <x:row r="370" ht="15.75" customHeight="1">
      <x:c r="A370" s="4">
        <x:v>5131.0</x:v>
      </x:c>
      <x:c r="B370" s="4" t="s">
        <x:v>301</x:v>
      </x:c>
      <x:c r="C370" s="4" t="s">
        <x:v>313</x:v>
      </x:c>
      <x:c r="D370" s="4" t="s">
        <x:v>426</x:v>
      </x:c>
      <x:c r="E370" s="4" t="s">
        <x:v>23</x:v>
      </x:c>
      <x:c r="F370" s="4">
        <x:v>6.0</x:v>
      </x:c>
      <x:c r="G370" s="4">
        <x:v>7.0</x:v>
      </x:c>
      <x:c r="H370" s="4">
        <x:v>-1.0</x:v>
      </x:c>
      <x:c r="I370" s="4">
        <x:v>6.0</x:v>
      </x:c>
      <x:c r="J370" s="4">
        <x:v>7.0</x:v>
      </x:c>
      <x:c r="K370" s="4">
        <x:v>-1.0</x:v>
      </x:c>
      <x:c r="L370" s="4">
        <x:v>12.0</x:v>
      </x:c>
      <x:c r="M370" s="4">
        <x:v>12.0</x:v>
      </x:c>
    </x:row>
    <x:row r="371" ht="15.75" customHeight="1">
      <x:c r="A371" s="4">
        <x:v>6898.0</x:v>
      </x:c>
      <x:c r="B371" s="4" t="s">
        <x:v>301</x:v>
      </x:c>
      <x:c r="C371" s="4" t="s">
        <x:v>313</x:v>
      </x:c>
      <x:c r="D371" s="4" t="s">
        <x:v>427</x:v>
      </x:c>
      <x:c r="E371" s="4" t="s">
        <x:v>45</x:v>
      </x:c>
      <x:c r="F371" s="4">
        <x:v>6.0</x:v>
      </x:c>
      <x:c r="G371" s="4">
        <x:v>6.0</x:v>
      </x:c>
      <x:c r="H371" s="4">
        <x:v>0.0</x:v>
      </x:c>
      <x:c r="I371" s="4">
        <x:v>6.0</x:v>
      </x:c>
      <x:c r="J371" s="4">
        <x:v>7.0</x:v>
      </x:c>
      <x:c r="K371" s="4">
        <x:v>-1.0</x:v>
      </x:c>
      <x:c r="L371" s="4">
        <x:v>10.0</x:v>
      </x:c>
      <x:c r="M371" s="4">
        <x:v>12.0</x:v>
      </x:c>
    </x:row>
    <x:row r="372" ht="15.75" customHeight="1">
      <x:c r="A372" s="4">
        <x:v>4423.0</x:v>
      </x:c>
      <x:c r="B372" s="4" t="s">
        <x:v>301</x:v>
      </x:c>
      <x:c r="C372" s="4" t="s">
        <x:v>301</x:v>
      </x:c>
      <x:c r="D372" s="4" t="s">
        <x:v>428</x:v>
      </x:c>
      <x:c r="E372" s="4" t="s">
        <x:v>45</x:v>
      </x:c>
      <x:c r="F372" s="4">
        <x:v>6.0</x:v>
      </x:c>
      <x:c r="G372" s="4">
        <x:v>7.0</x:v>
      </x:c>
      <x:c r="H372" s="4">
        <x:v>-1.0</x:v>
      </x:c>
      <x:c r="I372" s="4">
        <x:v>6.0</x:v>
      </x:c>
      <x:c r="J372" s="4">
        <x:v>7.0</x:v>
      </x:c>
      <x:c r="K372" s="4">
        <x:v>-1.0</x:v>
      </x:c>
      <x:c r="L372" s="4">
        <x:v>18.0</x:v>
      </x:c>
      <x:c r="M372" s="4">
        <x:v>18.0</x:v>
      </x:c>
    </x:row>
    <x:row r="373" ht="15.75" customHeight="1">
      <x:c r="A373" s="4">
        <x:v>7145.0</x:v>
      </x:c>
      <x:c r="B373" s="4" t="s">
        <x:v>301</x:v>
      </x:c>
      <x:c r="C373" s="4" t="s">
        <x:v>406</x:v>
      </x:c>
      <x:c r="D373" s="4" t="s">
        <x:v>429</x:v>
      </x:c>
      <x:c r="E373" s="4" t="s">
        <x:v>55</x:v>
      </x:c>
      <x:c r="F373" s="4">
        <x:v>6.0</x:v>
      </x:c>
      <x:c r="G373" s="4">
        <x:v>6.0</x:v>
      </x:c>
      <x:c r="H373" s="4">
        <x:v>0.0</x:v>
      </x:c>
      <x:c r="I373" s="4">
        <x:v>7.0</x:v>
      </x:c>
      <x:c r="J373" s="4">
        <x:v>7.0</x:v>
      </x:c>
      <x:c r="K373" s="4">
        <x:v>0.0</x:v>
      </x:c>
      <x:c r="L373" s="4">
        <x:v>9.0</x:v>
      </x:c>
      <x:c r="M373" s="4">
        <x:v>11.0</x:v>
      </x:c>
    </x:row>
    <x:row r="374" ht="15.75" customHeight="1">
      <x:c r="A374" s="4">
        <x:v>7149.0</x:v>
      </x:c>
      <x:c r="B374" s="4" t="s">
        <x:v>301</x:v>
      </x:c>
      <x:c r="C374" s="4" t="s">
        <x:v>313</x:v>
      </x:c>
      <x:c r="D374" s="4" t="s">
        <x:v>430</x:v>
      </x:c>
      <x:c r="E374" s="4" t="s">
        <x:v>55</x:v>
      </x:c>
      <x:c r="F374" s="4">
        <x:v>6.0</x:v>
      </x:c>
      <x:c r="G374" s="4">
        <x:v>6.0</x:v>
      </x:c>
      <x:c r="H374" s="4">
        <x:v>0.0</x:v>
      </x:c>
      <x:c r="I374" s="4">
        <x:v>6.0</x:v>
      </x:c>
      <x:c r="J374" s="4">
        <x:v>6.0</x:v>
      </x:c>
      <x:c r="K374" s="4">
        <x:v>0.0</x:v>
      </x:c>
      <x:c r="L374" s="4">
        <x:v>11.0</x:v>
      </x:c>
      <x:c r="M374" s="4">
        <x:v>14.0</x:v>
      </x:c>
    </x:row>
    <x:row r="375" ht="15.75" customHeight="1">
      <x:c r="A375" s="4">
        <x:v>6190.0</x:v>
      </x:c>
      <x:c r="B375" s="4" t="s">
        <x:v>301</x:v>
      </x:c>
      <x:c r="C375" s="4" t="s">
        <x:v>301</x:v>
      </x:c>
      <x:c r="D375" s="4" t="s">
        <x:v>431</x:v>
      </x:c>
      <x:c r="E375" s="4" t="s">
        <x:v>25</x:v>
      </x:c>
      <x:c r="F375" s="4">
        <x:v>6.0</x:v>
      </x:c>
      <x:c r="G375" s="4">
        <x:v>7.0</x:v>
      </x:c>
      <x:c r="H375" s="4">
        <x:v>-1.0</x:v>
      </x:c>
      <x:c r="I375" s="4">
        <x:v>6.0</x:v>
      </x:c>
      <x:c r="J375" s="4">
        <x:v>7.0</x:v>
      </x:c>
      <x:c r="K375" s="4">
        <x:v>-1.0</x:v>
      </x:c>
      <x:c r="L375" s="4">
        <x:v>15.0</x:v>
      </x:c>
      <x:c r="M375" s="4">
        <x:v>15.0</x:v>
      </x:c>
    </x:row>
    <x:row r="376" ht="15.75" customHeight="1">
      <x:c r="A376" s="4">
        <x:v>6219.0</x:v>
      </x:c>
      <x:c r="B376" s="4" t="s">
        <x:v>301</x:v>
      </x:c>
      <x:c r="C376" s="4" t="s">
        <x:v>313</x:v>
      </x:c>
      <x:c r="D376" s="4" t="s">
        <x:v>432</x:v>
      </x:c>
      <x:c r="E376" s="4" t="s">
        <x:v>49</x:v>
      </x:c>
      <x:c r="F376" s="4">
        <x:v>6.0</x:v>
      </x:c>
      <x:c r="G376" s="4">
        <x:v>6.0</x:v>
      </x:c>
      <x:c r="H376" s="4">
        <x:v>0.0</x:v>
      </x:c>
      <x:c r="I376" s="4">
        <x:v>6.0</x:v>
      </x:c>
      <x:c r="J376" s="4">
        <x:v>6.0</x:v>
      </x:c>
      <x:c r="K376" s="4">
        <x:v>0.0</x:v>
      </x:c>
      <x:c r="L376" s="4">
        <x:v>14.0</x:v>
      </x:c>
      <x:c r="M376" s="4">
        <x:v>17.0</x:v>
      </x:c>
    </x:row>
    <x:row r="377" ht="15.75" customHeight="1">
      <x:c r="A377" s="4">
        <x:v>6815.0</x:v>
      </x:c>
      <x:c r="B377" s="4" t="s">
        <x:v>301</x:v>
      </x:c>
      <x:c r="C377" s="4" t="s">
        <x:v>316</x:v>
      </x:c>
      <x:c r="D377" s="4" t="s">
        <x:v>433</x:v>
      </x:c>
      <x:c r="E377" s="4" t="s">
        <x:v>49</x:v>
      </x:c>
      <x:c r="F377" s="4">
        <x:v>6.0</x:v>
      </x:c>
      <x:c r="G377" s="4">
        <x:v>6.0</x:v>
      </x:c>
      <x:c r="H377" s="4">
        <x:v>0.0</x:v>
      </x:c>
      <x:c r="I377" s="4">
        <x:v>5.0</x:v>
      </x:c>
      <x:c r="J377" s="4">
        <x:v>5.0</x:v>
      </x:c>
      <x:c r="K377" s="4">
        <x:v>0.0</x:v>
      </x:c>
      <x:c r="L377" s="4">
        <x:v>13.0</x:v>
      </x:c>
      <x:c r="M377" s="4">
        <x:v>10.0</x:v>
      </x:c>
    </x:row>
    <x:row r="378" ht="15.75" customHeight="1">
      <x:c r="A378" s="4">
        <x:v>5735.0</x:v>
      </x:c>
      <x:c r="B378" s="4" t="s">
        <x:v>301</x:v>
      </x:c>
      <x:c r="C378" s="4" t="s">
        <x:v>330</x:v>
      </x:c>
      <x:c r="D378" s="4" t="s">
        <x:v>434</x:v>
      </x:c>
      <x:c r="E378" s="4" t="s">
        <x:v>49</x:v>
      </x:c>
      <x:c r="F378" s="4">
        <x:v>6.0</x:v>
      </x:c>
      <x:c r="G378" s="4">
        <x:v>5.0</x:v>
      </x:c>
      <x:c r="H378" s="4">
        <x:v>1.0</x:v>
      </x:c>
      <x:c r="I378" s="4">
        <x:v>6.0</x:v>
      </x:c>
      <x:c r="J378" s="4">
        <x:v>5.0</x:v>
      </x:c>
      <x:c r="K378" s="4">
        <x:v>1.0</x:v>
      </x:c>
      <x:c r="L378" s="4">
        <x:v>13.0</x:v>
      </x:c>
      <x:c r="M378" s="4">
        <x:v>15.0</x:v>
      </x:c>
    </x:row>
    <x:row r="379" ht="15.75" customHeight="1">
      <x:c r="A379" s="4">
        <x:v>6458.0</x:v>
      </x:c>
      <x:c r="B379" s="4" t="s">
        <x:v>301</x:v>
      </x:c>
      <x:c r="C379" s="4" t="s">
        <x:v>301</x:v>
      </x:c>
      <x:c r="D379" s="4" t="s">
        <x:v>435</x:v>
      </x:c>
      <x:c r="E379" s="4" t="s">
        <x:v>57</x:v>
      </x:c>
      <x:c r="F379" s="4">
        <x:v>6.0</x:v>
      </x:c>
      <x:c r="G379" s="4">
        <x:v>5.0</x:v>
      </x:c>
      <x:c r="H379" s="4">
        <x:v>1.0</x:v>
      </x:c>
      <x:c r="I379" s="4">
        <x:v>6.0</x:v>
      </x:c>
      <x:c r="J379" s="4">
        <x:v>5.0</x:v>
      </x:c>
      <x:c r="K379" s="4">
        <x:v>1.0</x:v>
      </x:c>
      <x:c r="L379" s="4">
        <x:v>12.0</x:v>
      </x:c>
      <x:c r="M379" s="4">
        <x:v>12.0</x:v>
      </x:c>
    </x:row>
    <x:row r="380" ht="15.75" customHeight="1">
      <x:c r="A380" s="4">
        <x:v>7198.0</x:v>
      </x:c>
      <x:c r="B380" s="4" t="s">
        <x:v>301</x:v>
      </x:c>
      <x:c r="C380" s="4" t="s">
        <x:v>301</x:v>
      </x:c>
      <x:c r="D380" s="4" t="s">
        <x:v>436</x:v>
      </x:c>
      <x:c r="E380" s="4" t="s">
        <x:v>51</x:v>
      </x:c>
      <x:c r="F380" s="4">
        <x:v>6.0</x:v>
      </x:c>
      <x:c r="G380" s="4">
        <x:v>6.0</x:v>
      </x:c>
      <x:c r="H380" s="4">
        <x:v>0.0</x:v>
      </x:c>
      <x:c r="I380" s="4">
        <x:v>6.0</x:v>
      </x:c>
      <x:c r="J380" s="4">
        <x:v>6.0</x:v>
      </x:c>
      <x:c r="K380" s="4">
        <x:v>0.0</x:v>
      </x:c>
      <x:c r="L380" s="4">
        <x:v>12.0</x:v>
      </x:c>
      <x:c r="M380" s="4">
        <x:v>12.0</x:v>
      </x:c>
    </x:row>
    <x:row r="381" ht="15.75" customHeight="1">
      <x:c r="A381" s="4">
        <x:v>7209.0</x:v>
      </x:c>
      <x:c r="B381" s="4" t="s">
        <x:v>301</x:v>
      </x:c>
      <x:c r="C381" s="4" t="s">
        <x:v>301</x:v>
      </x:c>
      <x:c r="D381" s="4" t="s">
        <x:v>437</x:v>
      </x:c>
      <x:c r="E381" s="4" t="s">
        <x:v>45</x:v>
      </x:c>
      <x:c r="F381" s="4">
        <x:v>6.0</x:v>
      </x:c>
      <x:c r="G381" s="4">
        <x:v>6.0</x:v>
      </x:c>
      <x:c r="H381" s="4">
        <x:v>0.0</x:v>
      </x:c>
      <x:c r="I381" s="4">
        <x:v>6.0</x:v>
      </x:c>
      <x:c r="J381" s="4">
        <x:v>6.0</x:v>
      </x:c>
      <x:c r="K381" s="4">
        <x:v>0.0</x:v>
      </x:c>
      <x:c r="L381" s="4">
        <x:v>13.0</x:v>
      </x:c>
      <x:c r="M381" s="4">
        <x:v>13.0</x:v>
      </x:c>
    </x:row>
    <x:row r="382" ht="15.75" customHeight="1">
      <x:c r="A382" s="4">
        <x:v>6274.0</x:v>
      </x:c>
      <x:c r="B382" s="4" t="s">
        <x:v>301</x:v>
      </x:c>
      <x:c r="C382" s="4" t="s">
        <x:v>301</x:v>
      </x:c>
      <x:c r="D382" s="4" t="s">
        <x:v>438</x:v>
      </x:c>
      <x:c r="E382" s="4" t="s">
        <x:v>19</x:v>
      </x:c>
      <x:c r="F382" s="4">
        <x:v>6.0</x:v>
      </x:c>
      <x:c r="G382" s="4">
        <x:v>7.0</x:v>
      </x:c>
      <x:c r="H382" s="4">
        <x:v>-1.0</x:v>
      </x:c>
      <x:c r="I382" s="4">
        <x:v>6.0</x:v>
      </x:c>
      <x:c r="J382" s="4">
        <x:v>7.0</x:v>
      </x:c>
      <x:c r="K382" s="4">
        <x:v>-1.0</x:v>
      </x:c>
      <x:c r="L382" s="4">
        <x:v>16.0</x:v>
      </x:c>
      <x:c r="M382" s="4">
        <x:v>16.0</x:v>
      </x:c>
    </x:row>
    <x:row r="383" ht="15.75" customHeight="1">
      <x:c r="A383" s="4">
        <x:v>4404.0</x:v>
      </x:c>
      <x:c r="B383" s="4" t="s">
        <x:v>301</x:v>
      </x:c>
      <x:c r="C383" s="4" t="s">
        <x:v>307</x:v>
      </x:c>
      <x:c r="D383" s="4" t="s">
        <x:v>439</x:v>
      </x:c>
      <x:c r="E383" s="4" t="s">
        <x:v>37</x:v>
      </x:c>
      <x:c r="F383" s="4">
        <x:v>5.0</x:v>
      </x:c>
      <x:c r="G383" s="4">
        <x:v>5.0</x:v>
      </x:c>
      <x:c r="H383" s="4">
        <x:v>0.0</x:v>
      </x:c>
      <x:c r="I383" s="4">
        <x:v>5.0</x:v>
      </x:c>
      <x:c r="J383" s="4">
        <x:v>5.0</x:v>
      </x:c>
      <x:c r="K383" s="4">
        <x:v>0.0</x:v>
      </x:c>
      <x:c r="L383" s="4">
        <x:v>12.0</x:v>
      </x:c>
      <x:c r="M383" s="4">
        <x:v>12.0</x:v>
      </x:c>
    </x:row>
    <x:row r="384" ht="15.75" customHeight="1">
      <x:c r="A384" s="4">
        <x:v>4711.0</x:v>
      </x:c>
      <x:c r="B384" s="4" t="s">
        <x:v>301</x:v>
      </x:c>
      <x:c r="C384" s="4" t="s">
        <x:v>342</x:v>
      </x:c>
      <x:c r="D384" s="4" t="s">
        <x:v>440</x:v>
      </x:c>
      <x:c r="E384" s="4" t="s">
        <x:v>17</x:v>
      </x:c>
      <x:c r="F384" s="4">
        <x:v>5.0</x:v>
      </x:c>
      <x:c r="G384" s="4">
        <x:v>4.0</x:v>
      </x:c>
      <x:c r="H384" s="4">
        <x:v>1.0</x:v>
      </x:c>
      <x:c r="I384" s="4">
        <x:v>6.0</x:v>
      </x:c>
      <x:c r="J384" s="4">
        <x:v>5.0</x:v>
      </x:c>
      <x:c r="K384" s="4">
        <x:v>1.0</x:v>
      </x:c>
      <x:c r="L384" s="4">
        <x:v>7.0</x:v>
      </x:c>
      <x:c r="M384" s="4">
        <x:v>8.0</x:v>
      </x:c>
    </x:row>
    <x:row r="385" ht="15.75" customHeight="1">
      <x:c r="A385" s="4">
        <x:v>6191.0</x:v>
      </x:c>
      <x:c r="B385" s="4" t="s">
        <x:v>301</x:v>
      </x:c>
      <x:c r="C385" s="4" t="s">
        <x:v>313</x:v>
      </x:c>
      <x:c r="D385" s="4" t="s">
        <x:v>441</x:v>
      </x:c>
      <x:c r="E385" s="4" t="s">
        <x:v>31</x:v>
      </x:c>
      <x:c r="F385" s="4">
        <x:v>5.0</x:v>
      </x:c>
      <x:c r="G385" s="4">
        <x:v>4.0</x:v>
      </x:c>
      <x:c r="H385" s="4">
        <x:v>1.0</x:v>
      </x:c>
      <x:c r="I385" s="4">
        <x:v>5.0</x:v>
      </x:c>
      <x:c r="J385" s="4">
        <x:v>4.0</x:v>
      </x:c>
      <x:c r="K385" s="4">
        <x:v>1.0</x:v>
      </x:c>
      <x:c r="L385" s="4">
        <x:v>5.0</x:v>
      </x:c>
      <x:c r="M385" s="4">
        <x:v>6.0</x:v>
      </x:c>
    </x:row>
    <x:row r="386" ht="15.75" customHeight="1">
      <x:c r="A386" s="4">
        <x:v>333.0</x:v>
      </x:c>
      <x:c r="B386" s="4" t="s">
        <x:v>301</x:v>
      </x:c>
      <x:c r="C386" s="4" t="s">
        <x:v>313</x:v>
      </x:c>
      <x:c r="D386" s="4" t="s">
        <x:v>442</x:v>
      </x:c>
      <x:c r="E386" s="4" t="s">
        <x:v>31</x:v>
      </x:c>
      <x:c r="F386" s="4">
        <x:v>5.0</x:v>
      </x:c>
      <x:c r="G386" s="4">
        <x:v>5.0</x:v>
      </x:c>
      <x:c r="H386" s="4">
        <x:v>0.0</x:v>
      </x:c>
      <x:c r="I386" s="4">
        <x:v>5.0</x:v>
      </x:c>
      <x:c r="J386" s="4">
        <x:v>5.0</x:v>
      </x:c>
      <x:c r="K386" s="4">
        <x:v>0.0</x:v>
      </x:c>
      <x:c r="L386" s="4">
        <x:v>10.0</x:v>
      </x:c>
      <x:c r="M386" s="4">
        <x:v>13.0</x:v>
      </x:c>
    </x:row>
    <x:row r="387" ht="15.75" customHeight="1">
      <x:c r="A387" s="4">
        <x:v>5998.0</x:v>
      </x:c>
      <x:c r="B387" s="4" t="s">
        <x:v>301</x:v>
      </x:c>
      <x:c r="C387" s="4" t="s">
        <x:v>342</x:v>
      </x:c>
      <x:c r="D387" s="4" t="s">
        <x:v>443</x:v>
      </x:c>
      <x:c r="E387" s="4" t="s">
        <x:v>47</x:v>
      </x:c>
      <x:c r="F387" s="4">
        <x:v>5.0</x:v>
      </x:c>
      <x:c r="G387" s="4">
        <x:v>3.0</x:v>
      </x:c>
      <x:c r="H387" s="4">
        <x:v>2.0</x:v>
      </x:c>
      <x:c r="I387" s="4">
        <x:v>5.0</x:v>
      </x:c>
      <x:c r="J387" s="4">
        <x:v>3.0</x:v>
      </x:c>
      <x:c r="K387" s="4">
        <x:v>2.0</x:v>
      </x:c>
      <x:c r="L387" s="4">
        <x:v>28.0</x:v>
      </x:c>
      <x:c r="M387" s="4">
        <x:v>31.0</x:v>
      </x:c>
    </x:row>
    <x:row r="388" ht="15.75" customHeight="1">
      <x:c r="A388" s="4">
        <x:v>7138.0</x:v>
      </x:c>
      <x:c r="B388" s="4" t="s">
        <x:v>301</x:v>
      </x:c>
      <x:c r="C388" s="4" t="s">
        <x:v>313</x:v>
      </x:c>
      <x:c r="D388" s="4" t="s">
        <x:v>444</x:v>
      </x:c>
      <x:c r="E388" s="4" t="s">
        <x:v>45</x:v>
      </x:c>
      <x:c r="F388" s="4">
        <x:v>5.0</x:v>
      </x:c>
      <x:c r="G388" s="4">
        <x:v>5.0</x:v>
      </x:c>
      <x:c r="H388" s="4">
        <x:v>0.0</x:v>
      </x:c>
      <x:c r="I388" s="4">
        <x:v>6.0</x:v>
      </x:c>
      <x:c r="J388" s="4">
        <x:v>6.0</x:v>
      </x:c>
      <x:c r="K388" s="4">
        <x:v>0.0</x:v>
      </x:c>
      <x:c r="L388" s="4">
        <x:v>12.0</x:v>
      </x:c>
      <x:c r="M388" s="4">
        <x:v>15.0</x:v>
      </x:c>
    </x:row>
    <x:row r="389" ht="15.75" customHeight="1">
      <x:c r="A389" s="4">
        <x:v>6717.0</x:v>
      </x:c>
      <x:c r="B389" s="4" t="s">
        <x:v>301</x:v>
      </x:c>
      <x:c r="C389" s="4" t="s">
        <x:v>313</x:v>
      </x:c>
      <x:c r="D389" s="4" t="s">
        <x:v>445</x:v>
      </x:c>
      <x:c r="E389" s="4" t="s">
        <x:v>49</x:v>
      </x:c>
      <x:c r="F389" s="4">
        <x:v>5.0</x:v>
      </x:c>
      <x:c r="G389" s="4">
        <x:v>6.0</x:v>
      </x:c>
      <x:c r="H389" s="4">
        <x:v>-1.0</x:v>
      </x:c>
      <x:c r="I389" s="4">
        <x:v>6.0</x:v>
      </x:c>
      <x:c r="J389" s="4">
        <x:v>7.0</x:v>
      </x:c>
      <x:c r="K389" s="4">
        <x:v>-1.0</x:v>
      </x:c>
      <x:c r="L389" s="4">
        <x:v>12.0</x:v>
      </x:c>
      <x:c r="M389" s="4">
        <x:v>15.0</x:v>
      </x:c>
    </x:row>
    <x:row r="390" ht="15.75" customHeight="1">
      <x:c r="A390" s="4">
        <x:v>4890.0</x:v>
      </x:c>
      <x:c r="B390" s="4" t="s">
        <x:v>301</x:v>
      </x:c>
      <x:c r="C390" s="4" t="s">
        <x:v>313</x:v>
      </x:c>
      <x:c r="D390" s="4" t="s">
        <x:v>446</x:v>
      </x:c>
      <x:c r="E390" s="4" t="s">
        <x:v>41</x:v>
      </x:c>
      <x:c r="F390" s="4">
        <x:v>5.0</x:v>
      </x:c>
      <x:c r="G390" s="4">
        <x:v>5.0</x:v>
      </x:c>
      <x:c r="H390" s="4">
        <x:v>0.0</x:v>
      </x:c>
      <x:c r="I390" s="4">
        <x:v>5.0</x:v>
      </x:c>
      <x:c r="J390" s="4">
        <x:v>5.0</x:v>
      </x:c>
      <x:c r="K390" s="4">
        <x:v>0.0</x:v>
      </x:c>
      <x:c r="L390" s="4">
        <x:v>11.0</x:v>
      </x:c>
      <x:c r="M390" s="4">
        <x:v>14.0</x:v>
      </x:c>
    </x:row>
    <x:row r="391" ht="15.75" customHeight="1">
      <x:c r="A391" s="4">
        <x:v>1976.0</x:v>
      </x:c>
      <x:c r="B391" s="4" t="s">
        <x:v>301</x:v>
      </x:c>
      <x:c r="C391" s="4" t="s">
        <x:v>313</x:v>
      </x:c>
      <x:c r="D391" s="4" t="s">
        <x:v>447</x:v>
      </x:c>
      <x:c r="E391" s="4" t="s">
        <x:v>39</x:v>
      </x:c>
      <x:c r="F391" s="4">
        <x:v>5.0</x:v>
      </x:c>
      <x:c r="G391" s="4">
        <x:v>5.0</x:v>
      </x:c>
      <x:c r="H391" s="4">
        <x:v>0.0</x:v>
      </x:c>
      <x:c r="I391" s="4">
        <x:v>5.0</x:v>
      </x:c>
      <x:c r="J391" s="4">
        <x:v>5.0</x:v>
      </x:c>
      <x:c r="K391" s="4">
        <x:v>0.0</x:v>
      </x:c>
      <x:c r="L391" s="4">
        <x:v>11.0</x:v>
      </x:c>
      <x:c r="M391" s="4">
        <x:v>12.0</x:v>
      </x:c>
    </x:row>
    <x:row r="392" ht="15.75" customHeight="1">
      <x:c r="A392" s="4">
        <x:v>7276.0</x:v>
      </x:c>
      <x:c r="B392" s="4" t="s">
        <x:v>301</x:v>
      </x:c>
      <x:c r="C392" s="4" t="s">
        <x:v>301</x:v>
      </x:c>
      <x:c r="D392" s="4" t="s">
        <x:v>448</x:v>
      </x:c>
      <x:c r="E392" s="4" t="s">
        <x:v>45</x:v>
      </x:c>
      <x:c r="F392" s="4">
        <x:v>5.0</x:v>
      </x:c>
      <x:c r="G392" s="4">
        <x:v>5.0</x:v>
      </x:c>
      <x:c r="H392" s="4">
        <x:v>0.0</x:v>
      </x:c>
      <x:c r="I392" s="4">
        <x:v>5.0</x:v>
      </x:c>
      <x:c r="J392" s="4">
        <x:v>5.0</x:v>
      </x:c>
      <x:c r="K392" s="4">
        <x:v>0.0</x:v>
      </x:c>
      <x:c r="L392" s="4">
        <x:v>10.0</x:v>
      </x:c>
      <x:c r="M392" s="4">
        <x:v>10.0</x:v>
      </x:c>
    </x:row>
    <x:row r="393" ht="15.75" customHeight="1">
      <x:c r="A393" s="4">
        <x:v>6024.0</x:v>
      </x:c>
      <x:c r="B393" s="4" t="s">
        <x:v>301</x:v>
      </x:c>
      <x:c r="C393" s="4" t="s">
        <x:v>313</x:v>
      </x:c>
      <x:c r="D393" s="4" t="s">
        <x:v>449</x:v>
      </x:c>
      <x:c r="E393" s="4" t="s">
        <x:v>33</x:v>
      </x:c>
      <x:c r="F393" s="4">
        <x:v>4.0</x:v>
      </x:c>
      <x:c r="G393" s="4">
        <x:v>4.0</x:v>
      </x:c>
      <x:c r="H393" s="4">
        <x:v>0.0</x:v>
      </x:c>
      <x:c r="I393" s="4">
        <x:v>4.0</x:v>
      </x:c>
      <x:c r="J393" s="4">
        <x:v>4.0</x:v>
      </x:c>
      <x:c r="K393" s="4">
        <x:v>0.0</x:v>
      </x:c>
      <x:c r="L393" s="4">
        <x:v>10.0</x:v>
      </x:c>
      <x:c r="M393" s="4">
        <x:v>11.0</x:v>
      </x:c>
    </x:row>
    <x:row r="394" ht="15.75" customHeight="1">
      <x:c r="A394" s="4">
        <x:v>5784.0</x:v>
      </x:c>
      <x:c r="B394" s="4" t="s">
        <x:v>301</x:v>
      </x:c>
      <x:c r="C394" s="4" t="s">
        <x:v>301</x:v>
      </x:c>
      <x:c r="D394" s="4" t="s">
        <x:v>450</x:v>
      </x:c>
      <x:c r="E394" s="4" t="s">
        <x:v>55</x:v>
      </x:c>
      <x:c r="F394" s="4">
        <x:v>4.0</x:v>
      </x:c>
      <x:c r="G394" s="4">
        <x:v>4.0</x:v>
      </x:c>
      <x:c r="H394" s="4">
        <x:v>0.0</x:v>
      </x:c>
      <x:c r="I394" s="4">
        <x:v>4.0</x:v>
      </x:c>
      <x:c r="J394" s="4">
        <x:v>4.0</x:v>
      </x:c>
      <x:c r="K394" s="4">
        <x:v>0.0</x:v>
      </x:c>
      <x:c r="L394" s="4">
        <x:v>14.0</x:v>
      </x:c>
      <x:c r="M394" s="4">
        <x:v>14.0</x:v>
      </x:c>
    </x:row>
    <x:row r="395" ht="15.75" customHeight="1">
      <x:c r="A395" s="4">
        <x:v>6424.0</x:v>
      </x:c>
      <x:c r="B395" s="4" t="s">
        <x:v>301</x:v>
      </x:c>
      <x:c r="C395" s="4" t="s">
        <x:v>313</x:v>
      </x:c>
      <x:c r="D395" s="4" t="s">
        <x:v>451</x:v>
      </x:c>
      <x:c r="E395" s="4" t="s">
        <x:v>39</x:v>
      </x:c>
      <x:c r="F395" s="4">
        <x:v>4.0</x:v>
      </x:c>
      <x:c r="G395" s="4">
        <x:v>3.0</x:v>
      </x:c>
      <x:c r="H395" s="4">
        <x:v>1.0</x:v>
      </x:c>
      <x:c r="I395" s="4">
        <x:v>4.0</x:v>
      </x:c>
      <x:c r="J395" s="4">
        <x:v>3.0</x:v>
      </x:c>
      <x:c r="K395" s="4">
        <x:v>1.0</x:v>
      </x:c>
      <x:c r="L395" s="4">
        <x:v>11.0</x:v>
      </x:c>
      <x:c r="M395" s="4">
        <x:v>16.0</x:v>
      </x:c>
    </x:row>
    <x:row r="396" ht="15.75" customHeight="1">
      <x:c r="A396" s="4">
        <x:v>4284.0</x:v>
      </x:c>
      <x:c r="B396" s="4" t="s">
        <x:v>301</x:v>
      </x:c>
      <x:c r="C396" s="4" t="s">
        <x:v>313</x:v>
      </x:c>
      <x:c r="D396" s="4" t="s">
        <x:v>452</x:v>
      </x:c>
      <x:c r="E396" s="4" t="s">
        <x:v>35</x:v>
      </x:c>
      <x:c r="F396" s="4">
        <x:v>4.0</x:v>
      </x:c>
      <x:c r="G396" s="4">
        <x:v>4.0</x:v>
      </x:c>
      <x:c r="H396" s="4">
        <x:v>0.0</x:v>
      </x:c>
      <x:c r="I396" s="4">
        <x:v>4.0</x:v>
      </x:c>
      <x:c r="J396" s="4">
        <x:v>4.0</x:v>
      </x:c>
      <x:c r="K396" s="4">
        <x:v>0.0</x:v>
      </x:c>
      <x:c r="L396" s="4">
        <x:v>8.0</x:v>
      </x:c>
      <x:c r="M396" s="4">
        <x:v>8.0</x:v>
      </x:c>
    </x:row>
    <x:row r="397" ht="15.75" customHeight="1">
      <x:c r="A397" s="4">
        <x:v>27.0</x:v>
      </x:c>
      <x:c r="B397" s="4" t="s">
        <x:v>301</x:v>
      </x:c>
      <x:c r="C397" s="4" t="s">
        <x:v>313</x:v>
      </x:c>
      <x:c r="D397" s="4" t="s">
        <x:v>453</x:v>
      </x:c>
      <x:c r="E397" s="4" t="s">
        <x:v>47</x:v>
      </x:c>
      <x:c r="F397" s="4">
        <x:v>4.0</x:v>
      </x:c>
      <x:c r="G397" s="4">
        <x:v>4.0</x:v>
      </x:c>
      <x:c r="H397" s="4">
        <x:v>0.0</x:v>
      </x:c>
      <x:c r="I397" s="4">
        <x:v>4.0</x:v>
      </x:c>
      <x:c r="J397" s="4">
        <x:v>4.0</x:v>
      </x:c>
      <x:c r="K397" s="4">
        <x:v>0.0</x:v>
      </x:c>
      <x:c r="L397" s="4">
        <x:v>9.0</x:v>
      </x:c>
      <x:c r="M397" s="4">
        <x:v>10.0</x:v>
      </x:c>
    </x:row>
    <x:row r="398" ht="15.75" customHeight="1">
      <x:c r="A398" s="4">
        <x:v>6804.0</x:v>
      </x:c>
      <x:c r="B398" s="4" t="s">
        <x:v>301</x:v>
      </x:c>
      <x:c r="C398" s="4" t="s">
        <x:v>313</x:v>
      </x:c>
      <x:c r="D398" s="4" t="s">
        <x:v>454</x:v>
      </x:c>
      <x:c r="E398" s="4" t="s">
        <x:v>29</x:v>
      </x:c>
      <x:c r="F398" s="4">
        <x:v>4.0</x:v>
      </x:c>
      <x:c r="G398" s="4">
        <x:v>4.0</x:v>
      </x:c>
      <x:c r="H398" s="4">
        <x:v>0.0</x:v>
      </x:c>
      <x:c r="I398" s="4">
        <x:v>4.0</x:v>
      </x:c>
      <x:c r="J398" s="4">
        <x:v>4.0</x:v>
      </x:c>
      <x:c r="K398" s="4">
        <x:v>0.0</x:v>
      </x:c>
      <x:c r="L398" s="4">
        <x:v>8.0</x:v>
      </x:c>
      <x:c r="M398" s="4">
        <x:v>9.0</x:v>
      </x:c>
    </x:row>
    <x:row r="399" ht="15.75" customHeight="1">
      <x:c r="A399" s="4">
        <x:v>5719.0</x:v>
      </x:c>
      <x:c r="B399" s="4" t="s">
        <x:v>301</x:v>
      </x:c>
      <x:c r="C399" s="4" t="s">
        <x:v>313</x:v>
      </x:c>
      <x:c r="D399" s="4" t="s">
        <x:v>455</x:v>
      </x:c>
      <x:c r="E399" s="4" t="s">
        <x:v>41</x:v>
      </x:c>
      <x:c r="F399" s="4">
        <x:v>4.0</x:v>
      </x:c>
      <x:c r="G399" s="4">
        <x:v>4.0</x:v>
      </x:c>
      <x:c r="H399" s="4">
        <x:v>0.0</x:v>
      </x:c>
      <x:c r="I399" s="4">
        <x:v>4.0</x:v>
      </x:c>
      <x:c r="J399" s="4">
        <x:v>4.0</x:v>
      </x:c>
      <x:c r="K399" s="4">
        <x:v>0.0</x:v>
      </x:c>
      <x:c r="L399" s="4">
        <x:v>9.0</x:v>
      </x:c>
      <x:c r="M399" s="4">
        <x:v>9.0</x:v>
      </x:c>
    </x:row>
    <x:row r="400" ht="15.75" customHeight="1">
      <x:c r="A400" s="4">
        <x:v>152.0</x:v>
      </x:c>
      <x:c r="B400" s="4" t="s">
        <x:v>301</x:v>
      </x:c>
      <x:c r="C400" s="4" t="s">
        <x:v>307</x:v>
      </x:c>
      <x:c r="D400" s="4" t="s">
        <x:v>456</x:v>
      </x:c>
      <x:c r="E400" s="4" t="s">
        <x:v>19</x:v>
      </x:c>
      <x:c r="F400" s="4">
        <x:v>4.0</x:v>
      </x:c>
      <x:c r="G400" s="4">
        <x:v>4.0</x:v>
      </x:c>
      <x:c r="H400" s="4">
        <x:v>0.0</x:v>
      </x:c>
      <x:c r="I400" s="4">
        <x:v>4.0</x:v>
      </x:c>
      <x:c r="J400" s="4">
        <x:v>4.0</x:v>
      </x:c>
      <x:c r="K400" s="4">
        <x:v>0.0</x:v>
      </x:c>
      <x:c r="L400" s="4">
        <x:v>12.0</x:v>
      </x:c>
      <x:c r="M400" s="4">
        <x:v>12.0</x:v>
      </x:c>
    </x:row>
    <x:row r="401" ht="15.75" customHeight="1">
      <x:c r="A401" s="4">
        <x:v>5813.0</x:v>
      </x:c>
      <x:c r="B401" s="4" t="s">
        <x:v>301</x:v>
      </x:c>
      <x:c r="C401" s="4" t="s">
        <x:v>307</x:v>
      </x:c>
      <x:c r="D401" s="4" t="s">
        <x:v>457</x:v>
      </x:c>
      <x:c r="E401" s="4" t="s">
        <x:v>17</x:v>
      </x:c>
      <x:c r="F401" s="4">
        <x:v>4.0</x:v>
      </x:c>
      <x:c r="G401" s="4">
        <x:v>5.0</x:v>
      </x:c>
      <x:c r="H401" s="4">
        <x:v>-1.0</x:v>
      </x:c>
      <x:c r="I401" s="4">
        <x:v>4.0</x:v>
      </x:c>
      <x:c r="J401" s="4">
        <x:v>5.0</x:v>
      </x:c>
      <x:c r="K401" s="4">
        <x:v>-1.0</x:v>
      </x:c>
      <x:c r="L401" s="4">
        <x:v>9.0</x:v>
      </x:c>
      <x:c r="M401" s="4">
        <x:v>9.0</x:v>
      </x:c>
    </x:row>
    <x:row r="402" ht="15.75" customHeight="1">
      <x:c r="A402" s="4">
        <x:v>5992.0</x:v>
      </x:c>
      <x:c r="B402" s="4" t="s">
        <x:v>301</x:v>
      </x:c>
      <x:c r="C402" s="4" t="s">
        <x:v>313</x:v>
      </x:c>
      <x:c r="D402" s="4" t="s">
        <x:v>458</x:v>
      </x:c>
      <x:c r="E402" s="4" t="s">
        <x:v>47</x:v>
      </x:c>
      <x:c r="F402" s="4">
        <x:v>4.0</x:v>
      </x:c>
      <x:c r="G402" s="4">
        <x:v>3.0</x:v>
      </x:c>
      <x:c r="H402" s="4">
        <x:v>1.0</x:v>
      </x:c>
      <x:c r="I402" s="4">
        <x:v>4.0</x:v>
      </x:c>
      <x:c r="J402" s="4">
        <x:v>3.0</x:v>
      </x:c>
      <x:c r="K402" s="4">
        <x:v>1.0</x:v>
      </x:c>
      <x:c r="L402" s="4">
        <x:v>18.0</x:v>
      </x:c>
      <x:c r="M402" s="4">
        <x:v>23.0</x:v>
      </x:c>
    </x:row>
    <x:row r="403" ht="15.75" customHeight="1">
      <x:c r="A403" s="4">
        <x:v>6246.0</x:v>
      </x:c>
      <x:c r="B403" s="4" t="s">
        <x:v>301</x:v>
      </x:c>
      <x:c r="C403" s="4" t="s">
        <x:v>313</x:v>
      </x:c>
      <x:c r="D403" s="4" t="s">
        <x:v>459</x:v>
      </x:c>
      <x:c r="E403" s="4" t="s">
        <x:v>49</x:v>
      </x:c>
      <x:c r="F403" s="4">
        <x:v>4.0</x:v>
      </x:c>
      <x:c r="G403" s="4">
        <x:v>4.0</x:v>
      </x:c>
      <x:c r="H403" s="4">
        <x:v>0.0</x:v>
      </x:c>
      <x:c r="I403" s="4">
        <x:v>4.0</x:v>
      </x:c>
      <x:c r="J403" s="4">
        <x:v>4.0</x:v>
      </x:c>
      <x:c r="K403" s="4">
        <x:v>0.0</x:v>
      </x:c>
      <x:c r="L403" s="4">
        <x:v>8.0</x:v>
      </x:c>
      <x:c r="M403" s="4">
        <x:v>11.0</x:v>
      </x:c>
    </x:row>
    <x:row r="404" ht="15.75" customHeight="1">
      <x:c r="A404" s="4">
        <x:v>6170.0</x:v>
      </x:c>
      <x:c r="B404" s="4" t="s">
        <x:v>301</x:v>
      </x:c>
      <x:c r="C404" s="4" t="s">
        <x:v>301</x:v>
      </x:c>
      <x:c r="D404" s="4" t="s">
        <x:v>460</x:v>
      </x:c>
      <x:c r="E404" s="4" t="s">
        <x:v>41</x:v>
      </x:c>
      <x:c r="F404" s="4">
        <x:v>4.0</x:v>
      </x:c>
      <x:c r="G404" s="4">
        <x:v>5.0</x:v>
      </x:c>
      <x:c r="H404" s="4">
        <x:v>-1.0</x:v>
      </x:c>
      <x:c r="I404" s="4">
        <x:v>4.0</x:v>
      </x:c>
      <x:c r="J404" s="4">
        <x:v>5.0</x:v>
      </x:c>
      <x:c r="K404" s="4">
        <x:v>-1.0</x:v>
      </x:c>
      <x:c r="L404" s="4">
        <x:v>11.0</x:v>
      </x:c>
      <x:c r="M404" s="4">
        <x:v>11.0</x:v>
      </x:c>
    </x:row>
    <x:row r="405" ht="15.75" customHeight="1">
      <x:c r="A405" s="4">
        <x:v>6481.0</x:v>
      </x:c>
      <x:c r="B405" s="4" t="s">
        <x:v>301</x:v>
      </x:c>
      <x:c r="C405" s="4" t="s">
        <x:v>301</x:v>
      </x:c>
      <x:c r="D405" s="4" t="s">
        <x:v>461</x:v>
      </x:c>
      <x:c r="E405" s="4" t="s">
        <x:v>47</x:v>
      </x:c>
      <x:c r="F405" s="4">
        <x:v>4.0</x:v>
      </x:c>
      <x:c r="G405" s="4">
        <x:v>4.0</x:v>
      </x:c>
      <x:c r="H405" s="4">
        <x:v>0.0</x:v>
      </x:c>
      <x:c r="I405" s="4">
        <x:v>4.0</x:v>
      </x:c>
      <x:c r="J405" s="4">
        <x:v>4.0</x:v>
      </x:c>
      <x:c r="K405" s="4">
        <x:v>0.0</x:v>
      </x:c>
      <x:c r="L405" s="4">
        <x:v>10.0</x:v>
      </x:c>
      <x:c r="M405" s="4">
        <x:v>10.0</x:v>
      </x:c>
    </x:row>
    <x:row r="406" ht="15.75" customHeight="1">
      <x:c r="A406" s="4">
        <x:v>7028.0</x:v>
      </x:c>
      <x:c r="B406" s="4" t="s">
        <x:v>301</x:v>
      </x:c>
      <x:c r="C406" s="4" t="s">
        <x:v>301</x:v>
      </x:c>
      <x:c r="D406" s="4" t="s">
        <x:v>462</x:v>
      </x:c>
      <x:c r="E406" s="4" t="s">
        <x:v>57</x:v>
      </x:c>
      <x:c r="F406" s="4">
        <x:v>4.0</x:v>
      </x:c>
      <x:c r="G406" s="4">
        <x:v>4.0</x:v>
      </x:c>
      <x:c r="H406" s="4">
        <x:v>0.0</x:v>
      </x:c>
      <x:c r="I406" s="4">
        <x:v>4.0</x:v>
      </x:c>
      <x:c r="J406" s="4">
        <x:v>4.0</x:v>
      </x:c>
      <x:c r="K406" s="4">
        <x:v>0.0</x:v>
      </x:c>
      <x:c r="L406" s="4">
        <x:v>10.0</x:v>
      </x:c>
      <x:c r="M406" s="4">
        <x:v>10.0</x:v>
      </x:c>
    </x:row>
    <x:row r="407" ht="15.75" customHeight="1">
      <x:c r="A407" s="4">
        <x:v>2117.0</x:v>
      </x:c>
      <x:c r="B407" s="4" t="s">
        <x:v>301</x:v>
      </x:c>
      <x:c r="C407" s="4" t="s">
        <x:v>307</x:v>
      </x:c>
      <x:c r="D407" s="4" t="s">
        <x:v>463</x:v>
      </x:c>
      <x:c r="E407" s="4" t="s">
        <x:v>57</x:v>
      </x:c>
      <x:c r="F407" s="4">
        <x:v>4.0</x:v>
      </x:c>
      <x:c r="G407" s="4">
        <x:v>4.0</x:v>
      </x:c>
      <x:c r="H407" s="4">
        <x:v>0.0</x:v>
      </x:c>
      <x:c r="I407" s="4">
        <x:v>4.0</x:v>
      </x:c>
      <x:c r="J407" s="4">
        <x:v>4.0</x:v>
      </x:c>
      <x:c r="K407" s="4">
        <x:v>0.0</x:v>
      </x:c>
      <x:c r="L407" s="4">
        <x:v>10.0</x:v>
      </x:c>
      <x:c r="M407" s="4">
        <x:v>10.0</x:v>
      </x:c>
    </x:row>
    <x:row r="408" ht="15.75" customHeight="1">
      <x:c r="A408" s="4">
        <x:v>5610.0</x:v>
      </x:c>
      <x:c r="B408" s="4" t="s">
        <x:v>301</x:v>
      </x:c>
      <x:c r="C408" s="4" t="s">
        <x:v>313</x:v>
      </x:c>
      <x:c r="D408" s="4" t="s">
        <x:v>464</x:v>
      </x:c>
      <x:c r="E408" s="4" t="s">
        <x:v>49</x:v>
      </x:c>
      <x:c r="F408" s="4">
        <x:v>4.0</x:v>
      </x:c>
      <x:c r="G408" s="4">
        <x:v>4.0</x:v>
      </x:c>
      <x:c r="H408" s="4">
        <x:v>0.0</x:v>
      </x:c>
      <x:c r="I408" s="4">
        <x:v>5.0</x:v>
      </x:c>
      <x:c r="J408" s="4">
        <x:v>5.0</x:v>
      </x:c>
      <x:c r="K408" s="4">
        <x:v>0.0</x:v>
      </x:c>
      <x:c r="L408" s="4">
        <x:v>11.0</x:v>
      </x:c>
      <x:c r="M408" s="4">
        <x:v>13.0</x:v>
      </x:c>
    </x:row>
    <x:row r="409" ht="15.75" customHeight="1">
      <x:c r="A409" s="4">
        <x:v>2528.0</x:v>
      </x:c>
      <x:c r="B409" s="4" t="s">
        <x:v>301</x:v>
      </x:c>
      <x:c r="C409" s="4" t="s">
        <x:v>313</x:v>
      </x:c>
      <x:c r="D409" s="4" t="s">
        <x:v>465</x:v>
      </x:c>
      <x:c r="E409" s="4" t="s">
        <x:v>49</x:v>
      </x:c>
      <x:c r="F409" s="4">
        <x:v>4.0</x:v>
      </x:c>
      <x:c r="G409" s="4">
        <x:v>4.0</x:v>
      </x:c>
      <x:c r="H409" s="4">
        <x:v>0.0</x:v>
      </x:c>
      <x:c r="I409" s="4">
        <x:v>5.0</x:v>
      </x:c>
      <x:c r="J409" s="4">
        <x:v>5.0</x:v>
      </x:c>
      <x:c r="K409" s="4">
        <x:v>0.0</x:v>
      </x:c>
      <x:c r="L409" s="4">
        <x:v>10.0</x:v>
      </x:c>
      <x:c r="M409" s="4">
        <x:v>12.0</x:v>
      </x:c>
    </x:row>
    <x:row r="410" ht="15.75" customHeight="1">
      <x:c r="A410" s="4">
        <x:v>7010.0</x:v>
      </x:c>
      <x:c r="B410" s="4" t="s">
        <x:v>301</x:v>
      </x:c>
      <x:c r="C410" s="4" t="s">
        <x:v>313</x:v>
      </x:c>
      <x:c r="D410" s="4" t="s">
        <x:v>466</x:v>
      </x:c>
      <x:c r="E410" s="4" t="s">
        <x:v>57</x:v>
      </x:c>
      <x:c r="F410" s="4">
        <x:v>4.0</x:v>
      </x:c>
      <x:c r="G410" s="4">
        <x:v>4.0</x:v>
      </x:c>
      <x:c r="H410" s="4">
        <x:v>0.0</x:v>
      </x:c>
      <x:c r="I410" s="4">
        <x:v>5.0</x:v>
      </x:c>
      <x:c r="J410" s="4">
        <x:v>5.0</x:v>
      </x:c>
      <x:c r="K410" s="4">
        <x:v>0.0</x:v>
      </x:c>
      <x:c r="L410" s="4">
        <x:v>9.0</x:v>
      </x:c>
      <x:c r="M410" s="4">
        <x:v>11.0</x:v>
      </x:c>
    </x:row>
    <x:row r="411" ht="15.75" customHeight="1">
      <x:c r="A411" s="4">
        <x:v>6528.0</x:v>
      </x:c>
      <x:c r="B411" s="4" t="s">
        <x:v>301</x:v>
      </x:c>
      <x:c r="C411" s="4" t="s">
        <x:v>330</x:v>
      </x:c>
      <x:c r="D411" s="4" t="s">
        <x:v>467</x:v>
      </x:c>
      <x:c r="E411" s="4" t="s">
        <x:v>47</x:v>
      </x:c>
      <x:c r="F411" s="4">
        <x:v>4.0</x:v>
      </x:c>
      <x:c r="G411" s="4">
        <x:v>4.0</x:v>
      </x:c>
      <x:c r="H411" s="4">
        <x:v>0.0</x:v>
      </x:c>
      <x:c r="I411" s="4">
        <x:v>4.0</x:v>
      </x:c>
      <x:c r="J411" s="4">
        <x:v>4.0</x:v>
      </x:c>
      <x:c r="K411" s="4">
        <x:v>0.0</x:v>
      </x:c>
      <x:c r="L411" s="4">
        <x:v>8.0</x:v>
      </x:c>
      <x:c r="M411" s="4">
        <x:v>8.0</x:v>
      </x:c>
    </x:row>
    <x:row r="412" ht="15.75" customHeight="1">
      <x:c r="A412" s="4">
        <x:v>6054.0</x:v>
      </x:c>
      <x:c r="B412" s="4" t="s">
        <x:v>301</x:v>
      </x:c>
      <x:c r="C412" s="4" t="s">
        <x:v>313</x:v>
      </x:c>
      <x:c r="D412" s="4" t="s">
        <x:v>468</x:v>
      </x:c>
      <x:c r="E412" s="4" t="s">
        <x:v>33</x:v>
      </x:c>
      <x:c r="F412" s="4">
        <x:v>3.0</x:v>
      </x:c>
      <x:c r="G412" s="4">
        <x:v>3.0</x:v>
      </x:c>
      <x:c r="H412" s="4">
        <x:v>0.0</x:v>
      </x:c>
      <x:c r="I412" s="4">
        <x:v>3.0</x:v>
      </x:c>
      <x:c r="J412" s="4">
        <x:v>3.0</x:v>
      </x:c>
      <x:c r="K412" s="4">
        <x:v>0.0</x:v>
      </x:c>
      <x:c r="L412" s="4">
        <x:v>7.0</x:v>
      </x:c>
      <x:c r="M412" s="4">
        <x:v>7.0</x:v>
      </x:c>
    </x:row>
    <x:row r="413" ht="15.75" customHeight="1">
      <x:c r="A413" s="4">
        <x:v>6980.0</x:v>
      </x:c>
      <x:c r="B413" s="4" t="s">
        <x:v>301</x:v>
      </x:c>
      <x:c r="C413" s="4" t="s">
        <x:v>316</x:v>
      </x:c>
      <x:c r="D413" s="4" t="s">
        <x:v>469</x:v>
      </x:c>
      <x:c r="E413" s="4" t="s">
        <x:v>37</x:v>
      </x:c>
      <x:c r="F413" s="4">
        <x:v>3.0</x:v>
      </x:c>
      <x:c r="G413" s="4">
        <x:v>3.0</x:v>
      </x:c>
      <x:c r="H413" s="4">
        <x:v>0.0</x:v>
      </x:c>
      <x:c r="I413" s="4">
        <x:v>3.0</x:v>
      </x:c>
      <x:c r="J413" s="4">
        <x:v>3.0</x:v>
      </x:c>
      <x:c r="K413" s="4">
        <x:v>0.0</x:v>
      </x:c>
      <x:c r="L413" s="4">
        <x:v>10.0</x:v>
      </x:c>
      <x:c r="M413" s="4">
        <x:v>10.0</x:v>
      </x:c>
    </x:row>
    <x:row r="414" ht="15.75" customHeight="1">
      <x:c r="A414" s="4">
        <x:v>6015.0</x:v>
      </x:c>
      <x:c r="B414" s="4" t="s">
        <x:v>301</x:v>
      </x:c>
      <x:c r="C414" s="4" t="s">
        <x:v>307</x:v>
      </x:c>
      <x:c r="D414" s="4" t="s">
        <x:v>470</x:v>
      </x:c>
      <x:c r="E414" s="4" t="s">
        <x:v>43</x:v>
      </x:c>
      <x:c r="F414" s="4">
        <x:v>3.0</x:v>
      </x:c>
      <x:c r="G414" s="4">
        <x:v>3.0</x:v>
      </x:c>
      <x:c r="H414" s="4">
        <x:v>0.0</x:v>
      </x:c>
      <x:c r="I414" s="4">
        <x:v>3.0</x:v>
      </x:c>
      <x:c r="J414" s="4">
        <x:v>3.0</x:v>
      </x:c>
      <x:c r="K414" s="4">
        <x:v>0.0</x:v>
      </x:c>
      <x:c r="L414" s="4">
        <x:v>11.0</x:v>
      </x:c>
      <x:c r="M414" s="4">
        <x:v>11.0</x:v>
      </x:c>
    </x:row>
    <x:row r="415" ht="15.75" customHeight="1">
      <x:c r="A415" s="4">
        <x:v>6222.0</x:v>
      </x:c>
      <x:c r="B415" s="4" t="s">
        <x:v>301</x:v>
      </x:c>
      <x:c r="C415" s="4" t="s">
        <x:v>307</x:v>
      </x:c>
      <x:c r="D415" s="4" t="s">
        <x:v>471</x:v>
      </x:c>
      <x:c r="E415" s="4" t="s">
        <x:v>43</x:v>
      </x:c>
      <x:c r="F415" s="4">
        <x:v>3.0</x:v>
      </x:c>
      <x:c r="G415" s="4">
        <x:v>3.0</x:v>
      </x:c>
      <x:c r="H415" s="4">
        <x:v>0.0</x:v>
      </x:c>
      <x:c r="I415" s="4">
        <x:v>3.0</x:v>
      </x:c>
      <x:c r="J415" s="4">
        <x:v>3.0</x:v>
      </x:c>
      <x:c r="K415" s="4">
        <x:v>0.0</x:v>
      </x:c>
      <x:c r="L415" s="4">
        <x:v>7.0</x:v>
      </x:c>
      <x:c r="M415" s="4">
        <x:v>7.0</x:v>
      </x:c>
    </x:row>
    <x:row r="416" ht="15.75" customHeight="1">
      <x:c r="A416" s="4">
        <x:v>7150.0</x:v>
      </x:c>
      <x:c r="B416" s="4" t="s">
        <x:v>301</x:v>
      </x:c>
      <x:c r="C416" s="4" t="s">
        <x:v>301</x:v>
      </x:c>
      <x:c r="D416" s="4" t="s">
        <x:v>472</x:v>
      </x:c>
      <x:c r="E416" s="4" t="s">
        <x:v>55</x:v>
      </x:c>
      <x:c r="F416" s="4">
        <x:v>3.0</x:v>
      </x:c>
      <x:c r="G416" s="4">
        <x:v>3.0</x:v>
      </x:c>
      <x:c r="H416" s="4">
        <x:v>0.0</x:v>
      </x:c>
      <x:c r="I416" s="4">
        <x:v>3.0</x:v>
      </x:c>
      <x:c r="J416" s="4">
        <x:v>3.0</x:v>
      </x:c>
      <x:c r="K416" s="4">
        <x:v>0.0</x:v>
      </x:c>
      <x:c r="L416" s="4">
        <x:v>1.0</x:v>
      </x:c>
      <x:c r="M416" s="4">
        <x:v>1.0</x:v>
      </x:c>
    </x:row>
    <x:row r="417" ht="15.75" customHeight="1">
      <x:c r="A417" s="4">
        <x:v>6593.0</x:v>
      </x:c>
      <x:c r="B417" s="4" t="s">
        <x:v>301</x:v>
      </x:c>
      <x:c r="C417" s="4" t="s">
        <x:v>307</x:v>
      </x:c>
      <x:c r="D417" s="4" t="s">
        <x:v>473</x:v>
      </x:c>
      <x:c r="E417" s="4" t="s">
        <x:v>55</x:v>
      </x:c>
      <x:c r="F417" s="4">
        <x:v>3.0</x:v>
      </x:c>
      <x:c r="G417" s="4">
        <x:v>3.0</x:v>
      </x:c>
      <x:c r="H417" s="4">
        <x:v>0.0</x:v>
      </x:c>
      <x:c r="I417" s="4">
        <x:v>3.0</x:v>
      </x:c>
      <x:c r="J417" s="4">
        <x:v>3.0</x:v>
      </x:c>
      <x:c r="K417" s="4">
        <x:v>0.0</x:v>
      </x:c>
      <x:c r="L417" s="4">
        <x:v>13.0</x:v>
      </x:c>
      <x:c r="M417" s="4">
        <x:v>13.0</x:v>
      </x:c>
    </x:row>
    <x:row r="418" ht="15.75" customHeight="1">
      <x:c r="A418" s="4">
        <x:v>6212.0</x:v>
      </x:c>
      <x:c r="B418" s="4" t="s">
        <x:v>301</x:v>
      </x:c>
      <x:c r="C418" s="4" t="s">
        <x:v>313</x:v>
      </x:c>
      <x:c r="D418" s="4" t="s">
        <x:v>474</x:v>
      </x:c>
      <x:c r="E418" s="4" t="s">
        <x:v>51</x:v>
      </x:c>
      <x:c r="F418" s="4">
        <x:v>3.0</x:v>
      </x:c>
      <x:c r="G418" s="4">
        <x:v>2.0</x:v>
      </x:c>
      <x:c r="H418" s="4">
        <x:v>1.0</x:v>
      </x:c>
      <x:c r="I418" s="4">
        <x:v>3.0</x:v>
      </x:c>
      <x:c r="J418" s="4">
        <x:v>2.0</x:v>
      </x:c>
      <x:c r="K418" s="4">
        <x:v>1.0</x:v>
      </x:c>
      <x:c r="L418" s="4">
        <x:v>6.0</x:v>
      </x:c>
      <x:c r="M418" s="4">
        <x:v>7.0</x:v>
      </x:c>
    </x:row>
    <x:row r="419" ht="15.75" customHeight="1">
      <x:c r="A419" s="4">
        <x:v>5540.0</x:v>
      </x:c>
      <x:c r="B419" s="4" t="s">
        <x:v>301</x:v>
      </x:c>
      <x:c r="C419" s="4" t="s">
        <x:v>313</x:v>
      </x:c>
      <x:c r="D419" s="4" t="s">
        <x:v>475</x:v>
      </x:c>
      <x:c r="E419" s="4" t="s">
        <x:v>57</x:v>
      </x:c>
      <x:c r="F419" s="4">
        <x:v>3.0</x:v>
      </x:c>
      <x:c r="G419" s="4">
        <x:v>3.0</x:v>
      </x:c>
      <x:c r="H419" s="4">
        <x:v>0.0</x:v>
      </x:c>
      <x:c r="I419" s="4">
        <x:v>3.0</x:v>
      </x:c>
      <x:c r="J419" s="4">
        <x:v>3.0</x:v>
      </x:c>
      <x:c r="K419" s="4">
        <x:v>0.0</x:v>
      </x:c>
      <x:c r="L419" s="4">
        <x:v>14.0</x:v>
      </x:c>
      <x:c r="M419" s="4">
        <x:v>17.0</x:v>
      </x:c>
    </x:row>
    <x:row r="420" ht="15.75" customHeight="1">
      <x:c r="A420" s="4">
        <x:v>7208.0</x:v>
      </x:c>
      <x:c r="B420" s="4" t="s">
        <x:v>301</x:v>
      </x:c>
      <x:c r="C420" s="4" t="s">
        <x:v>313</x:v>
      </x:c>
      <x:c r="D420" s="4" t="s">
        <x:v>476</x:v>
      </x:c>
      <x:c r="E420" s="4" t="s">
        <x:v>51</x:v>
      </x:c>
      <x:c r="F420" s="4">
        <x:v>3.0</x:v>
      </x:c>
      <x:c r="G420" s="4">
        <x:v>3.0</x:v>
      </x:c>
      <x:c r="H420" s="4">
        <x:v>0.0</x:v>
      </x:c>
      <x:c r="I420" s="4">
        <x:v>4.0</x:v>
      </x:c>
      <x:c r="J420" s="4">
        <x:v>4.0</x:v>
      </x:c>
      <x:c r="K420" s="4">
        <x:v>0.0</x:v>
      </x:c>
      <x:c r="L420" s="4">
        <x:v>10.0</x:v>
      </x:c>
      <x:c r="M420" s="4">
        <x:v>12.0</x:v>
      </x:c>
    </x:row>
    <x:row r="421" ht="15.75" customHeight="1">
      <x:c r="A421" s="4">
        <x:v>7246.0</x:v>
      </x:c>
      <x:c r="B421" s="4" t="s">
        <x:v>301</x:v>
      </x:c>
      <x:c r="C421" s="4" t="s">
        <x:v>301</x:v>
      </x:c>
      <x:c r="D421" s="4" t="s">
        <x:v>477</x:v>
      </x:c>
      <x:c r="E421" s="4" t="s">
        <x:v>43</x:v>
      </x:c>
      <x:c r="F421" s="4">
        <x:v>3.0</x:v>
      </x:c>
      <x:c r="G421" s="4">
        <x:v>3.0</x:v>
      </x:c>
      <x:c r="H421" s="4">
        <x:v>0.0</x:v>
      </x:c>
      <x:c r="I421" s="4">
        <x:v>3.0</x:v>
      </x:c>
      <x:c r="J421" s="4">
        <x:v>3.0</x:v>
      </x:c>
      <x:c r="K421" s="4">
        <x:v>0.0</x:v>
      </x:c>
      <x:c r="L421" s="4">
        <x:v>8.0</x:v>
      </x:c>
      <x:c r="M421" s="4">
        <x:v>8.0</x:v>
      </x:c>
    </x:row>
    <x:row r="422" ht="15.75" customHeight="1">
      <x:c r="A422" s="4">
        <x:v>6294.0</x:v>
      </x:c>
      <x:c r="B422" s="4" t="s">
        <x:v>301</x:v>
      </x:c>
      <x:c r="C422" s="4" t="s">
        <x:v>313</x:v>
      </x:c>
      <x:c r="D422" s="4" t="s">
        <x:v>478</x:v>
      </x:c>
      <x:c r="E422" s="4" t="s">
        <x:v>29</x:v>
      </x:c>
      <x:c r="F422" s="4">
        <x:v>2.0</x:v>
      </x:c>
      <x:c r="G422" s="4">
        <x:v>2.0</x:v>
      </x:c>
      <x:c r="H422" s="4">
        <x:v>0.0</x:v>
      </x:c>
      <x:c r="I422" s="4">
        <x:v>2.0</x:v>
      </x:c>
      <x:c r="J422" s="4">
        <x:v>2.0</x:v>
      </x:c>
      <x:c r="K422" s="4">
        <x:v>0.0</x:v>
      </x:c>
      <x:c r="L422" s="4">
        <x:v>14.0</x:v>
      </x:c>
      <x:c r="M422" s="4">
        <x:v>17.0</x:v>
      </x:c>
    </x:row>
    <x:row r="423" ht="15.75" customHeight="1">
      <x:c r="A423" s="4">
        <x:v>5788.0</x:v>
      </x:c>
      <x:c r="B423" s="4" t="s">
        <x:v>301</x:v>
      </x:c>
      <x:c r="C423" s="4" t="s">
        <x:v>310</x:v>
      </x:c>
      <x:c r="D423" s="4" t="s">
        <x:v>479</x:v>
      </x:c>
      <x:c r="E423" s="4" t="s">
        <x:v>29</x:v>
      </x:c>
      <x:c r="F423" s="4">
        <x:v>2.0</x:v>
      </x:c>
      <x:c r="G423" s="4">
        <x:v>2.0</x:v>
      </x:c>
      <x:c r="H423" s="4">
        <x:v>0.0</x:v>
      </x:c>
      <x:c r="I423" s="4">
        <x:v>2.0</x:v>
      </x:c>
      <x:c r="J423" s="4">
        <x:v>2.0</x:v>
      </x:c>
      <x:c r="K423" s="4">
        <x:v>0.0</x:v>
      </x:c>
      <x:c r="L423" s="4">
        <x:v>4.0</x:v>
      </x:c>
      <x:c r="M423" s="4">
        <x:v>4.0</x:v>
      </x:c>
    </x:row>
    <x:row r="424" ht="15.75" customHeight="1">
      <x:c r="A424" s="4">
        <x:v>6410.0</x:v>
      </x:c>
      <x:c r="B424" s="4" t="s">
        <x:v>301</x:v>
      </x:c>
      <x:c r="C424" s="4" t="s">
        <x:v>313</x:v>
      </x:c>
      <x:c r="D424" s="4" t="s">
        <x:v>480</x:v>
      </x:c>
      <x:c r="E424" s="4" t="s">
        <x:v>43</x:v>
      </x:c>
      <x:c r="F424" s="4">
        <x:v>2.0</x:v>
      </x:c>
      <x:c r="G424" s="4">
        <x:v>1.0</x:v>
      </x:c>
      <x:c r="H424" s="4">
        <x:v>1.0</x:v>
      </x:c>
      <x:c r="I424" s="4">
        <x:v>2.0</x:v>
      </x:c>
      <x:c r="J424" s="4">
        <x:v>1.0</x:v>
      </x:c>
      <x:c r="K424" s="4">
        <x:v>1.0</x:v>
      </x:c>
      <x:c r="L424" s="4">
        <x:v>2.0</x:v>
      </x:c>
      <x:c r="M424" s="4">
        <x:v>2.0</x:v>
      </x:c>
    </x:row>
    <x:row r="425" ht="15.75" customHeight="1">
      <x:c r="A425" s="4">
        <x:v>5290.0</x:v>
      </x:c>
      <x:c r="B425" s="4" t="s">
        <x:v>301</x:v>
      </x:c>
      <x:c r="C425" s="4" t="s">
        <x:v>313</x:v>
      </x:c>
      <x:c r="D425" s="4" t="s">
        <x:v>481</x:v>
      </x:c>
      <x:c r="E425" s="4" t="s">
        <x:v>45</x:v>
      </x:c>
      <x:c r="F425" s="4">
        <x:v>2.0</x:v>
      </x:c>
      <x:c r="G425" s="4">
        <x:v>2.0</x:v>
      </x:c>
      <x:c r="H425" s="4">
        <x:v>0.0</x:v>
      </x:c>
      <x:c r="I425" s="4">
        <x:v>2.0</x:v>
      </x:c>
      <x:c r="J425" s="4">
        <x:v>2.0</x:v>
      </x:c>
      <x:c r="K425" s="4">
        <x:v>0.0</x:v>
      </x:c>
      <x:c r="L425" s="4">
        <x:v>3.0</x:v>
      </x:c>
      <x:c r="M425" s="4">
        <x:v>3.0</x:v>
      </x:c>
    </x:row>
    <x:row r="426" ht="15.75" customHeight="1">
      <x:c r="A426" s="4">
        <x:v>2334.0</x:v>
      </x:c>
      <x:c r="B426" s="4" t="s">
        <x:v>301</x:v>
      </x:c>
      <x:c r="C426" s="4" t="s">
        <x:v>316</x:v>
      </x:c>
      <x:c r="D426" s="4" t="s">
        <x:v>482</x:v>
      </x:c>
      <x:c r="E426" s="4" t="s">
        <x:v>55</x:v>
      </x:c>
      <x:c r="F426" s="4">
        <x:v>2.0</x:v>
      </x:c>
      <x:c r="G426" s="4">
        <x:v>2.0</x:v>
      </x:c>
      <x:c r="H426" s="4">
        <x:v>0.0</x:v>
      </x:c>
      <x:c r="I426" s="4">
        <x:v>2.0</x:v>
      </x:c>
      <x:c r="J426" s="4">
        <x:v>2.0</x:v>
      </x:c>
      <x:c r="K426" s="4">
        <x:v>0.0</x:v>
      </x:c>
      <x:c r="L426" s="4">
        <x:v>3.0</x:v>
      </x:c>
      <x:c r="M426" s="4">
        <x:v>3.0</x:v>
      </x:c>
    </x:row>
    <x:row r="427" ht="15.75" customHeight="1">
      <x:c r="A427" s="4">
        <x:v>7177.0</x:v>
      </x:c>
      <x:c r="B427" s="4" t="s">
        <x:v>301</x:v>
      </x:c>
      <x:c r="C427" s="4" t="s">
        <x:v>301</x:v>
      </x:c>
      <x:c r="D427" s="4" t="s">
        <x:v>483</x:v>
      </x:c>
      <x:c r="E427" s="4" t="s">
        <x:v>57</x:v>
      </x:c>
      <x:c r="F427" s="4">
        <x:v>2.0</x:v>
      </x:c>
      <x:c r="G427" s="4">
        <x:v>2.0</x:v>
      </x:c>
      <x:c r="H427" s="4">
        <x:v>0.0</x:v>
      </x:c>
      <x:c r="I427" s="4">
        <x:v>2.0</x:v>
      </x:c>
      <x:c r="J427" s="4">
        <x:v>2.0</x:v>
      </x:c>
      <x:c r="K427" s="4">
        <x:v>0.0</x:v>
      </x:c>
      <x:c r="L427" s="4">
        <x:v>2.0</x:v>
      </x:c>
      <x:c r="M427" s="4">
        <x:v>2.0</x:v>
      </x:c>
    </x:row>
    <x:row r="428" ht="15.75" customHeight="1">
      <x:c r="A428" s="4">
        <x:v>6538.0</x:v>
      </x:c>
      <x:c r="B428" s="4" t="s">
        <x:v>301</x:v>
      </x:c>
      <x:c r="C428" s="4" t="s">
        <x:v>313</x:v>
      </x:c>
      <x:c r="D428" s="4" t="s">
        <x:v>484</x:v>
      </x:c>
      <x:c r="E428" s="4" t="s">
        <x:v>37</x:v>
      </x:c>
      <x:c r="F428" s="4">
        <x:v>2.0</x:v>
      </x:c>
      <x:c r="G428" s="4">
        <x:v>2.0</x:v>
      </x:c>
      <x:c r="H428" s="4">
        <x:v>0.0</x:v>
      </x:c>
      <x:c r="I428" s="4">
        <x:v>2.0</x:v>
      </x:c>
      <x:c r="J428" s="4">
        <x:v>2.0</x:v>
      </x:c>
      <x:c r="K428" s="4">
        <x:v>0.0</x:v>
      </x:c>
      <x:c r="L428" s="4">
        <x:v>4.0</x:v>
      </x:c>
      <x:c r="M428" s="4">
        <x:v>4.0</x:v>
      </x:c>
    </x:row>
    <x:row r="429" ht="15.75" customHeight="1">
      <x:c r="A429" s="4">
        <x:v>7165.0</x:v>
      </x:c>
      <x:c r="B429" s="4" t="s">
        <x:v>301</x:v>
      </x:c>
      <x:c r="C429" s="4" t="s">
        <x:v>313</x:v>
      </x:c>
      <x:c r="D429" s="4" t="s">
        <x:v>485</x:v>
      </x:c>
      <x:c r="E429" s="4" t="s">
        <x:v>39</x:v>
      </x:c>
      <x:c r="F429" s="4">
        <x:v>1.0</x:v>
      </x:c>
      <x:c r="G429" s="4">
        <x:v>1.0</x:v>
      </x:c>
      <x:c r="H429" s="4">
        <x:v>0.0</x:v>
      </x:c>
      <x:c r="I429" s="4">
        <x:v>1.0</x:v>
      </x:c>
      <x:c r="J429" s="4">
        <x:v>1.0</x:v>
      </x:c>
      <x:c r="K429" s="4">
        <x:v>0.0</x:v>
      </x:c>
      <x:c r="L429" s="4">
        <x:v>6.0</x:v>
      </x:c>
      <x:c r="M429" s="4">
        <x:v>8.0</x:v>
      </x:c>
    </x:row>
    <x:row r="430" ht="15.75" customHeight="1">
      <x:c r="A430" s="4">
        <x:v>5674.0</x:v>
      </x:c>
      <x:c r="B430" s="4" t="s">
        <x:v>301</x:v>
      </x:c>
      <x:c r="C430" s="4" t="s">
        <x:v>301</x:v>
      </x:c>
      <x:c r="D430" s="4" t="s">
        <x:v>486</x:v>
      </x:c>
      <x:c r="E430" s="4" t="s">
        <x:v>31</x:v>
      </x:c>
      <x:c r="F430" s="4">
        <x:v>1.0</x:v>
      </x:c>
      <x:c r="G430" s="4">
        <x:v>1.0</x:v>
      </x:c>
      <x:c r="H430" s="4">
        <x:v>0.0</x:v>
      </x:c>
      <x:c r="I430" s="4">
        <x:v>1.0</x:v>
      </x:c>
      <x:c r="J430" s="4">
        <x:v>1.0</x:v>
      </x:c>
      <x:c r="K430" s="4">
        <x:v>0.0</x:v>
      </x:c>
      <x:c r="L430" s="4">
        <x:v>1.0</x:v>
      </x:c>
      <x:c r="M430" s="4">
        <x:v>1.0</x:v>
      </x:c>
    </x:row>
    <x:row r="431" ht="15.75" customHeight="1">
      <x:c r="A431" s="4">
        <x:v>6645.0</x:v>
      </x:c>
      <x:c r="B431" s="4" t="s">
        <x:v>301</x:v>
      </x:c>
      <x:c r="C431" s="4" t="s">
        <x:v>310</x:v>
      </x:c>
      <x:c r="D431" s="4" t="s">
        <x:v>487</x:v>
      </x:c>
      <x:c r="E431" s="4" t="s">
        <x:v>43</x:v>
      </x:c>
      <x:c r="F431" s="4">
        <x:v>1.0</x:v>
      </x:c>
      <x:c r="G431" s="4">
        <x:v>1.0</x:v>
      </x:c>
      <x:c r="H431" s="4">
        <x:v>0.0</x:v>
      </x:c>
      <x:c r="I431" s="4">
        <x:v>1.0</x:v>
      </x:c>
      <x:c r="J431" s="4">
        <x:v>1.0</x:v>
      </x:c>
      <x:c r="K431" s="4">
        <x:v>0.0</x:v>
      </x:c>
      <x:c r="L431" s="4">
        <x:v>2.0</x:v>
      </x:c>
      <x:c r="M431" s="4">
        <x:v>2.0</x:v>
      </x:c>
    </x:row>
    <x:row r="432" ht="15.75" customHeight="1">
      <x:c r="A432" s="4">
        <x:v>7147.0</x:v>
      </x:c>
      <x:c r="B432" s="4" t="s">
        <x:v>301</x:v>
      </x:c>
      <x:c r="C432" s="4" t="s">
        <x:v>313</x:v>
      </x:c>
      <x:c r="D432" s="4" t="s">
        <x:v>488</x:v>
      </x:c>
      <x:c r="E432" s="4" t="s">
        <x:v>55</x:v>
      </x:c>
      <x:c r="F432" s="4">
        <x:v>1.0</x:v>
      </x:c>
      <x:c r="G432" s="4">
        <x:v>1.0</x:v>
      </x:c>
      <x:c r="H432" s="4">
        <x:v>0.0</x:v>
      </x:c>
      <x:c r="I432" s="4">
        <x:v>1.0</x:v>
      </x:c>
      <x:c r="J432" s="4">
        <x:v>1.0</x:v>
      </x:c>
      <x:c r="K432" s="4">
        <x:v>0.0</x:v>
      </x:c>
      <x:c r="L432" s="4">
        <x:v>2.0</x:v>
      </x:c>
      <x:c r="M432" s="4">
        <x:v>2.0</x:v>
      </x:c>
    </x:row>
    <x:row r="433" ht="15.75" customHeight="1">
      <x:c r="A433" s="4">
        <x:v>7157.0</x:v>
      </x:c>
      <x:c r="B433" s="4" t="s">
        <x:v>301</x:v>
      </x:c>
      <x:c r="C433" s="4" t="s">
        <x:v>301</x:v>
      </x:c>
      <x:c r="D433" s="4" t="s">
        <x:v>489</x:v>
      </x:c>
      <x:c r="E433" s="4" t="s">
        <x:v>49</x:v>
      </x:c>
      <x:c r="F433" s="4">
        <x:v>1.0</x:v>
      </x:c>
      <x:c r="G433" s="4">
        <x:v>1.0</x:v>
      </x:c>
      <x:c r="H433" s="4">
        <x:v>0.0</x:v>
      </x:c>
      <x:c r="I433" s="4">
        <x:v>1.0</x:v>
      </x:c>
      <x:c r="J433" s="4">
        <x:v>1.0</x:v>
      </x:c>
      <x:c r="K433" s="4">
        <x:v>0.0</x:v>
      </x:c>
      <x:c r="L433" s="4">
        <x:v>7.0</x:v>
      </x:c>
      <x:c r="M433" s="4">
        <x:v>7.0</x:v>
      </x:c>
    </x:row>
    <x:row r="434" ht="15.75" customHeight="1">
      <x:c r="A434" s="4">
        <x:v>2076.0</x:v>
      </x:c>
      <x:c r="B434" s="4" t="s">
        <x:v>301</x:v>
      </x:c>
      <x:c r="C434" s="4" t="s">
        <x:v>313</x:v>
      </x:c>
      <x:c r="D434" s="4" t="s">
        <x:v>490</x:v>
      </x:c>
      <x:c r="E434" s="4" t="s">
        <x:v>39</x:v>
      </x:c>
      <x:c r="F434" s="4">
        <x:v>1.0</x:v>
      </x:c>
      <x:c r="G434" s="4">
        <x:v>1.0</x:v>
      </x:c>
      <x:c r="H434" s="4">
        <x:v>0.0</x:v>
      </x:c>
      <x:c r="I434" s="4">
        <x:v>1.0</x:v>
      </x:c>
      <x:c r="J434" s="4">
        <x:v>1.0</x:v>
      </x:c>
      <x:c r="K434" s="4">
        <x:v>0.0</x:v>
      </x:c>
      <x:c r="L434" s="4">
        <x:v>1.0</x:v>
      </x:c>
      <x:c r="M434" s="4">
        <x:v>1.0</x:v>
      </x:c>
    </x:row>
    <x:row r="435" ht="15.75" customHeight="1">
      <x:c r="A435" s="4">
        <x:v>6677.0</x:v>
      </x:c>
      <x:c r="B435" s="4" t="s">
        <x:v>301</x:v>
      </x:c>
      <x:c r="C435" s="4" t="s">
        <x:v>307</x:v>
      </x:c>
      <x:c r="D435" s="4" t="s">
        <x:v>491</x:v>
      </x:c>
      <x:c r="E435" s="4" t="s">
        <x:v>17</x:v>
      </x:c>
      <x:c r="F435" s="4">
        <x:v>1.0</x:v>
      </x:c>
      <x:c r="G435" s="4">
        <x:v>1.0</x:v>
      </x:c>
      <x:c r="H435" s="4">
        <x:v>0.0</x:v>
      </x:c>
      <x:c r="I435" s="4">
        <x:v>1.0</x:v>
      </x:c>
      <x:c r="J435" s="4">
        <x:v>1.0</x:v>
      </x:c>
      <x:c r="K435" s="4">
        <x:v>0.0</x:v>
      </x:c>
      <x:c r="L435" s="4">
        <x:v>1.0</x:v>
      </x:c>
      <x:c r="M435" s="4">
        <x:v>1.0</x:v>
      </x:c>
    </x:row>
    <x:row r="436" ht="15.75" customHeight="1">
      <x:c r="A436" s="4">
        <x:v>6005.0</x:v>
      </x:c>
      <x:c r="B436" s="4" t="s">
        <x:v>301</x:v>
      </x:c>
      <x:c r="C436" s="4" t="s">
        <x:v>307</x:v>
      </x:c>
      <x:c r="D436" s="4" t="s">
        <x:v>492</x:v>
      </x:c>
      <x:c r="E436" s="4" t="s">
        <x:v>41</x:v>
      </x:c>
      <x:c r="F436" s="4">
        <x:v>1.0</x:v>
      </x:c>
      <x:c r="G436" s="4">
        <x:v>1.0</x:v>
      </x:c>
      <x:c r="H436" s="4">
        <x:v>0.0</x:v>
      </x:c>
      <x:c r="I436" s="4">
        <x:v>1.0</x:v>
      </x:c>
      <x:c r="J436" s="4">
        <x:v>1.0</x:v>
      </x:c>
      <x:c r="K436" s="4">
        <x:v>0.0</x:v>
      </x:c>
      <x:c r="L436" s="4">
        <x:v>1.0</x:v>
      </x:c>
      <x:c r="M436" s="4">
        <x:v>1.0</x:v>
      </x:c>
    </x:row>
    <x:row r="437" ht="15.75" customHeight="1">
      <x:c r="A437" s="4">
        <x:v>7025.0</x:v>
      </x:c>
      <x:c r="B437" s="4" t="s">
        <x:v>301</x:v>
      </x:c>
      <x:c r="C437" s="4" t="s">
        <x:v>330</x:v>
      </x:c>
      <x:c r="D437" s="4" t="s">
        <x:v>493</x:v>
      </x:c>
      <x:c r="E437" s="4" t="s">
        <x:v>37</x:v>
      </x:c>
      <x:c r="F437" s="4">
        <x:v>1.0</x:v>
      </x:c>
      <x:c r="G437" s="4">
        <x:v>1.0</x:v>
      </x:c>
      <x:c r="H437" s="4">
        <x:v>0.0</x:v>
      </x:c>
      <x:c r="I437" s="4">
        <x:v>1.0</x:v>
      </x:c>
      <x:c r="J437" s="4">
        <x:v>1.0</x:v>
      </x:c>
      <x:c r="K437" s="4">
        <x:v>0.0</x:v>
      </x:c>
      <x:c r="L437" s="4">
        <x:v>1.0</x:v>
      </x:c>
      <x:c r="M437" s="4">
        <x:v>1.0</x:v>
      </x:c>
    </x:row>
    <x:row r="438" ht="15.75" customHeight="1">
      <x:c r="A438" s="4">
        <x:v>7223.0</x:v>
      </x:c>
      <x:c r="B438" s="4" t="s">
        <x:v>301</x:v>
      </x:c>
      <x:c r="C438" s="4" t="s">
        <x:v>330</x:v>
      </x:c>
      <x:c r="D438" s="4" t="s">
        <x:v>494</x:v>
      </x:c>
      <x:c r="E438" s="4" t="s">
        <x:v>23</x:v>
      </x:c>
      <x:c r="F438" s="4">
        <x:v>1.0</x:v>
      </x:c>
      <x:c r="G438" s="4">
        <x:v>1.0</x:v>
      </x:c>
      <x:c r="H438" s="4">
        <x:v>0.0</x:v>
      </x:c>
      <x:c r="I438" s="4">
        <x:v>1.0</x:v>
      </x:c>
      <x:c r="J438" s="4">
        <x:v>1.0</x:v>
      </x:c>
      <x:c r="K438" s="4">
        <x:v>0.0</x:v>
      </x:c>
      <x:c r="L438" s="4">
        <x:v>1.0</x:v>
      </x:c>
      <x:c r="M438" s="4">
        <x:v>1.0</x:v>
      </x:c>
    </x:row>
    <x:row r="439" ht="15.75" customHeight="1">
      <x:c r="A439" s="4">
        <x:v>5286.0</x:v>
      </x:c>
      <x:c r="B439" s="4" t="s">
        <x:v>301</x:v>
      </x:c>
      <x:c r="C439" s="4" t="s">
        <x:v>313</x:v>
      </x:c>
      <x:c r="D439" s="4" t="s">
        <x:v>495</x:v>
      </x:c>
      <x:c r="E439" s="4" t="s">
        <x:v>57</x:v>
      </x:c>
      <x:c r="F439" s="4">
        <x:v>1.0</x:v>
      </x:c>
      <x:c r="G439" s="4">
        <x:v>1.0</x:v>
      </x:c>
      <x:c r="H439" s="4">
        <x:v>0.0</x:v>
      </x:c>
      <x:c r="I439" s="4">
        <x:v>1.0</x:v>
      </x:c>
      <x:c r="J439" s="4">
        <x:v>1.0</x:v>
      </x:c>
      <x:c r="K439" s="4">
        <x:v>0.0</x:v>
      </x:c>
      <x:c r="L439" s="4">
        <x:v>2.0</x:v>
      </x:c>
      <x:c r="M439" s="4">
        <x:v>2.0</x:v>
      </x:c>
    </x:row>
    <x:row r="440" ht="15.75" customHeight="1">
      <x:c r="A440" s="4">
        <x:v>2764.0</x:v>
      </x:c>
      <x:c r="B440" s="4" t="s">
        <x:v>496</x:v>
      </x:c>
      <x:c r="C440" s="4" t="s">
        <x:v>497</x:v>
      </x:c>
      <x:c r="D440" s="4" t="s">
        <x:v>498</x:v>
      </x:c>
      <x:c r="E440" s="4" t="s">
        <x:v>19</x:v>
      </x:c>
      <x:c r="F440" s="4">
        <x:v>34.0</x:v>
      </x:c>
      <x:c r="G440" s="4">
        <x:v>34.0</x:v>
      </x:c>
      <x:c r="H440" s="4">
        <x:v>0.0</x:v>
      </x:c>
      <x:c r="I440" s="4">
        <x:v>34.0</x:v>
      </x:c>
      <x:c r="J440" s="4">
        <x:v>34.0</x:v>
      </x:c>
      <x:c r="K440" s="4">
        <x:v>0.0</x:v>
      </x:c>
      <x:c r="L440" s="4">
        <x:v>373.0</x:v>
      </x:c>
      <x:c r="M440" s="4">
        <x:v>373.0</x:v>
      </x:c>
    </x:row>
    <x:row r="441" ht="15.75" customHeight="1">
      <x:c r="A441" s="4">
        <x:v>2097.0</x:v>
      </x:c>
      <x:c r="B441" s="4" t="s">
        <x:v>496</x:v>
      </x:c>
      <x:c r="C441" s="4" t="s">
        <x:v>497</x:v>
      </x:c>
      <x:c r="D441" s="4" t="s">
        <x:v>499</x:v>
      </x:c>
      <x:c r="E441" s="4" t="s">
        <x:v>29</x:v>
      </x:c>
      <x:c r="F441" s="4">
        <x:v>31.0</x:v>
      </x:c>
      <x:c r="G441" s="4">
        <x:v>33.0</x:v>
      </x:c>
      <x:c r="H441" s="4">
        <x:v>-2.0</x:v>
      </x:c>
      <x:c r="I441" s="4">
        <x:v>31.0</x:v>
      </x:c>
      <x:c r="J441" s="4">
        <x:v>33.0</x:v>
      </x:c>
      <x:c r="K441" s="4">
        <x:v>-2.0</x:v>
      </x:c>
      <x:c r="L441" s="4">
        <x:v>364.0</x:v>
      </x:c>
      <x:c r="M441" s="4">
        <x:v>364.0</x:v>
      </x:c>
    </x:row>
    <x:row r="442" ht="15.75" customHeight="1">
      <x:c r="A442" s="4">
        <x:v>4871.0</x:v>
      </x:c>
      <x:c r="B442" s="4" t="s">
        <x:v>496</x:v>
      </x:c>
      <x:c r="C442" s="4" t="s">
        <x:v>497</x:v>
      </x:c>
      <x:c r="D442" s="4" t="s">
        <x:v>500</x:v>
      </x:c>
      <x:c r="E442" s="4" t="s">
        <x:v>19</x:v>
      </x:c>
      <x:c r="F442" s="4">
        <x:v>31.0</x:v>
      </x:c>
      <x:c r="G442" s="4">
        <x:v>29.0</x:v>
      </x:c>
      <x:c r="H442" s="4">
        <x:v>2.0</x:v>
      </x:c>
      <x:c r="I442" s="4">
        <x:v>31.0</x:v>
      </x:c>
      <x:c r="J442" s="4">
        <x:v>29.0</x:v>
      </x:c>
      <x:c r="K442" s="4">
        <x:v>2.0</x:v>
      </x:c>
      <x:c r="L442" s="4">
        <x:v>337.0</x:v>
      </x:c>
      <x:c r="M442" s="4">
        <x:v>337.0</x:v>
      </x:c>
    </x:row>
    <x:row r="443" ht="15.75" customHeight="1">
      <x:c r="A443" s="4">
        <x:v>2531.0</x:v>
      </x:c>
      <x:c r="B443" s="4" t="s">
        <x:v>496</x:v>
      </x:c>
      <x:c r="C443" s="4" t="s">
        <x:v>497</x:v>
      </x:c>
      <x:c r="D443" s="4" t="s">
        <x:v>501</x:v>
      </x:c>
      <x:c r="E443" s="4" t="s">
        <x:v>23</x:v>
      </x:c>
      <x:c r="F443" s="4">
        <x:v>30.0</x:v>
      </x:c>
      <x:c r="G443" s="4">
        <x:v>31.0</x:v>
      </x:c>
      <x:c r="H443" s="4">
        <x:v>-1.0</x:v>
      </x:c>
      <x:c r="I443" s="4">
        <x:v>30.0</x:v>
      </x:c>
      <x:c r="J443" s="4">
        <x:v>31.0</x:v>
      </x:c>
      <x:c r="K443" s="4">
        <x:v>-1.0</x:v>
      </x:c>
      <x:c r="L443" s="4">
        <x:v>120.0</x:v>
      </x:c>
      <x:c r="M443" s="4">
        <x:v>120.0</x:v>
      </x:c>
    </x:row>
    <x:row r="444" ht="15.75" customHeight="1">
      <x:c r="A444" s="4">
        <x:v>4730.0</x:v>
      </x:c>
      <x:c r="B444" s="4" t="s">
        <x:v>496</x:v>
      </x:c>
      <x:c r="C444" s="4" t="s">
        <x:v>496</x:v>
      </x:c>
      <x:c r="D444" s="4" t="s">
        <x:v>502</x:v>
      </x:c>
      <x:c r="E444" s="4" t="s">
        <x:v>27</x:v>
      </x:c>
      <x:c r="F444" s="4">
        <x:v>28.0</x:v>
      </x:c>
      <x:c r="G444" s="4">
        <x:v>29.0</x:v>
      </x:c>
      <x:c r="H444" s="4">
        <x:v>-1.0</x:v>
      </x:c>
      <x:c r="I444" s="4">
        <x:v>29.0</x:v>
      </x:c>
      <x:c r="J444" s="4">
        <x:v>30.0</x:v>
      </x:c>
      <x:c r="K444" s="4">
        <x:v>-1.0</x:v>
      </x:c>
      <x:c r="L444" s="4">
        <x:v>134.0</x:v>
      </x:c>
      <x:c r="M444" s="4">
        <x:v>134.0</x:v>
      </x:c>
    </x:row>
    <x:row r="445" ht="15.75" customHeight="1">
      <x:c r="A445" s="4">
        <x:v>5544.0</x:v>
      </x:c>
      <x:c r="B445" s="4" t="s">
        <x:v>496</x:v>
      </x:c>
      <x:c r="C445" s="4" t="s">
        <x:v>497</x:v>
      </x:c>
      <x:c r="D445" s="4" t="s">
        <x:v>503</x:v>
      </x:c>
      <x:c r="E445" s="4" t="s">
        <x:v>17</x:v>
      </x:c>
      <x:c r="F445" s="4">
        <x:v>27.0</x:v>
      </x:c>
      <x:c r="G445" s="4">
        <x:v>27.0</x:v>
      </x:c>
      <x:c r="H445" s="4">
        <x:v>0.0</x:v>
      </x:c>
      <x:c r="I445" s="4">
        <x:v>27.0</x:v>
      </x:c>
      <x:c r="J445" s="4">
        <x:v>27.0</x:v>
      </x:c>
      <x:c r="K445" s="4">
        <x:v>0.0</x:v>
      </x:c>
      <x:c r="L445" s="4">
        <x:v>266.0</x:v>
      </x:c>
      <x:c r="M445" s="4">
        <x:v>266.0</x:v>
      </x:c>
    </x:row>
    <x:row r="446" ht="15.75" customHeight="1">
      <x:c r="A446" s="4">
        <x:v>2841.0</x:v>
      </x:c>
      <x:c r="B446" s="4" t="s">
        <x:v>496</x:v>
      </x:c>
      <x:c r="C446" s="4" t="s">
        <x:v>497</x:v>
      </x:c>
      <x:c r="D446" s="4" t="s">
        <x:v>504</x:v>
      </x:c>
      <x:c r="E446" s="4" t="s">
        <x:v>17</x:v>
      </x:c>
      <x:c r="F446" s="4">
        <x:v>26.0</x:v>
      </x:c>
      <x:c r="G446" s="4">
        <x:v>24.0</x:v>
      </x:c>
      <x:c r="H446" s="4">
        <x:v>2.0</x:v>
      </x:c>
      <x:c r="I446" s="4">
        <x:v>26.0</x:v>
      </x:c>
      <x:c r="J446" s="4">
        <x:v>24.0</x:v>
      </x:c>
      <x:c r="K446" s="4">
        <x:v>2.0</x:v>
      </x:c>
      <x:c r="L446" s="4">
        <x:v>126.0</x:v>
      </x:c>
      <x:c r="M446" s="4">
        <x:v>126.0</x:v>
      </x:c>
    </x:row>
    <x:row r="447" ht="15.75" customHeight="1">
      <x:c r="A447" s="4">
        <x:v>309.0</x:v>
      </x:c>
      <x:c r="B447" s="4" t="s">
        <x:v>496</x:v>
      </x:c>
      <x:c r="C447" s="4" t="s">
        <x:v>496</x:v>
      </x:c>
      <x:c r="D447" s="4" t="s">
        <x:v>505</x:v>
      </x:c>
      <x:c r="E447" s="4" t="s">
        <x:v>25</x:v>
      </x:c>
      <x:c r="F447" s="4">
        <x:v>26.0</x:v>
      </x:c>
      <x:c r="G447" s="4">
        <x:v>26.0</x:v>
      </x:c>
      <x:c r="H447" s="4">
        <x:v>0.0</x:v>
      </x:c>
      <x:c r="I447" s="4">
        <x:v>27.0</x:v>
      </x:c>
      <x:c r="J447" s="4">
        <x:v>27.0</x:v>
      </x:c>
      <x:c r="K447" s="4">
        <x:v>0.0</x:v>
      </x:c>
      <x:c r="L447" s="4">
        <x:v>218.0</x:v>
      </x:c>
      <x:c r="M447" s="4">
        <x:v>218.0</x:v>
      </x:c>
    </x:row>
    <x:row r="448" ht="15.75" customHeight="1">
      <x:c r="A448" s="4">
        <x:v>6434.0</x:v>
      </x:c>
      <x:c r="B448" s="4" t="s">
        <x:v>496</x:v>
      </x:c>
      <x:c r="C448" s="4" t="s">
        <x:v>496</x:v>
      </x:c>
      <x:c r="D448" s="4" t="s">
        <x:v>506</x:v>
      </x:c>
      <x:c r="E448" s="4" t="s">
        <x:v>17</x:v>
      </x:c>
      <x:c r="F448" s="4">
        <x:v>25.0</x:v>
      </x:c>
      <x:c r="G448" s="4">
        <x:v>24.0</x:v>
      </x:c>
      <x:c r="H448" s="4">
        <x:v>1.0</x:v>
      </x:c>
      <x:c r="I448" s="4">
        <x:v>25.0</x:v>
      </x:c>
      <x:c r="J448" s="4">
        <x:v>25.0</x:v>
      </x:c>
      <x:c r="K448" s="4">
        <x:v>0.0</x:v>
      </x:c>
      <x:c r="L448" s="4">
        <x:v>220.0</x:v>
      </x:c>
      <x:c r="M448" s="4">
        <x:v>220.0</x:v>
      </x:c>
    </x:row>
    <x:row r="449" ht="15.75" customHeight="1">
      <x:c r="A449" s="4">
        <x:v>7008.0</x:v>
      </x:c>
      <x:c r="B449" s="4" t="s">
        <x:v>496</x:v>
      </x:c>
      <x:c r="C449" s="4" t="s">
        <x:v>497</x:v>
      </x:c>
      <x:c r="D449" s="4" t="s">
        <x:v>507</x:v>
      </x:c>
      <x:c r="E449" s="4" t="s">
        <x:v>21</x:v>
      </x:c>
      <x:c r="F449" s="4">
        <x:v>24.0</x:v>
      </x:c>
      <x:c r="G449" s="4">
        <x:v>25.0</x:v>
      </x:c>
      <x:c r="H449" s="4">
        <x:v>-1.0</x:v>
      </x:c>
      <x:c r="I449" s="4">
        <x:v>24.0</x:v>
      </x:c>
      <x:c r="J449" s="4">
        <x:v>25.0</x:v>
      </x:c>
      <x:c r="K449" s="4">
        <x:v>-1.0</x:v>
      </x:c>
      <x:c r="L449" s="4">
        <x:v>113.0</x:v>
      </x:c>
      <x:c r="M449" s="4">
        <x:v>113.0</x:v>
      </x:c>
    </x:row>
    <x:row r="450" ht="15.75" customHeight="1">
      <x:c r="A450" s="4">
        <x:v>6052.0</x:v>
      </x:c>
      <x:c r="B450" s="4" t="s">
        <x:v>496</x:v>
      </x:c>
      <x:c r="C450" s="4" t="s">
        <x:v>497</x:v>
      </x:c>
      <x:c r="D450" s="4" t="s">
        <x:v>508</x:v>
      </x:c>
      <x:c r="E450" s="4" t="s">
        <x:v>23</x:v>
      </x:c>
      <x:c r="F450" s="4">
        <x:v>24.0</x:v>
      </x:c>
      <x:c r="G450" s="4">
        <x:v>24.0</x:v>
      </x:c>
      <x:c r="H450" s="4">
        <x:v>0.0</x:v>
      </x:c>
      <x:c r="I450" s="4">
        <x:v>24.0</x:v>
      </x:c>
      <x:c r="J450" s="4">
        <x:v>24.0</x:v>
      </x:c>
      <x:c r="K450" s="4">
        <x:v>0.0</x:v>
      </x:c>
      <x:c r="L450" s="4">
        <x:v>186.0</x:v>
      </x:c>
      <x:c r="M450" s="4">
        <x:v>186.0</x:v>
      </x:c>
    </x:row>
    <x:row r="451" ht="15.75" customHeight="1">
      <x:c r="A451" s="4">
        <x:v>4510.0</x:v>
      </x:c>
      <x:c r="B451" s="4" t="s">
        <x:v>496</x:v>
      </x:c>
      <x:c r="C451" s="4" t="s">
        <x:v>496</x:v>
      </x:c>
      <x:c r="D451" s="4" t="s">
        <x:v>509</x:v>
      </x:c>
      <x:c r="E451" s="4" t="s">
        <x:v>21</x:v>
      </x:c>
      <x:c r="F451" s="4">
        <x:v>23.0</x:v>
      </x:c>
      <x:c r="G451" s="4">
        <x:v>24.0</x:v>
      </x:c>
      <x:c r="H451" s="4">
        <x:v>-1.0</x:v>
      </x:c>
      <x:c r="I451" s="4">
        <x:v>23.0</x:v>
      </x:c>
      <x:c r="J451" s="4">
        <x:v>24.0</x:v>
      </x:c>
      <x:c r="K451" s="4">
        <x:v>-1.0</x:v>
      </x:c>
      <x:c r="L451" s="4">
        <x:v>210.0</x:v>
      </x:c>
      <x:c r="M451" s="4">
        <x:v>210.0</x:v>
      </x:c>
    </x:row>
    <x:row r="452" ht="15.75" customHeight="1">
      <x:c r="A452" s="4">
        <x:v>6226.0</x:v>
      </x:c>
      <x:c r="B452" s="4" t="s">
        <x:v>496</x:v>
      </x:c>
      <x:c r="C452" s="4" t="s">
        <x:v>497</x:v>
      </x:c>
      <x:c r="D452" s="4" t="s">
        <x:v>510</x:v>
      </x:c>
      <x:c r="E452" s="4" t="s">
        <x:v>31</x:v>
      </x:c>
      <x:c r="F452" s="4">
        <x:v>22.0</x:v>
      </x:c>
      <x:c r="G452" s="4">
        <x:v>21.0</x:v>
      </x:c>
      <x:c r="H452" s="4">
        <x:v>1.0</x:v>
      </x:c>
      <x:c r="I452" s="4">
        <x:v>22.0</x:v>
      </x:c>
      <x:c r="J452" s="4">
        <x:v>21.0</x:v>
      </x:c>
      <x:c r="K452" s="4">
        <x:v>1.0</x:v>
      </x:c>
      <x:c r="L452" s="4">
        <x:v>198.0</x:v>
      </x:c>
      <x:c r="M452" s="4">
        <x:v>198.0</x:v>
      </x:c>
    </x:row>
    <x:row r="453" ht="15.75" customHeight="1">
      <x:c r="A453" s="4">
        <x:v>6314.0</x:v>
      </x:c>
      <x:c r="B453" s="4" t="s">
        <x:v>496</x:v>
      </x:c>
      <x:c r="C453" s="4" t="s">
        <x:v>497</x:v>
      </x:c>
      <x:c r="D453" s="4" t="s">
        <x:v>511</x:v>
      </x:c>
      <x:c r="E453" s="4" t="s">
        <x:v>17</x:v>
      </x:c>
      <x:c r="F453" s="4">
        <x:v>22.0</x:v>
      </x:c>
      <x:c r="G453" s="4">
        <x:v>22.0</x:v>
      </x:c>
      <x:c r="H453" s="4">
        <x:v>0.0</x:v>
      </x:c>
      <x:c r="I453" s="4">
        <x:v>22.0</x:v>
      </x:c>
      <x:c r="J453" s="4">
        <x:v>22.0</x:v>
      </x:c>
      <x:c r="K453" s="4">
        <x:v>0.0</x:v>
      </x:c>
      <x:c r="L453" s="4">
        <x:v>147.0</x:v>
      </x:c>
      <x:c r="M453" s="4">
        <x:v>147.0</x:v>
      </x:c>
    </x:row>
    <x:row r="454" ht="15.75" customHeight="1">
      <x:c r="A454" s="4">
        <x:v>5995.0</x:v>
      </x:c>
      <x:c r="B454" s="4" t="s">
        <x:v>496</x:v>
      </x:c>
      <x:c r="C454" s="4" t="s">
        <x:v>496</x:v>
      </x:c>
      <x:c r="D454" s="4" t="s">
        <x:v>512</x:v>
      </x:c>
      <x:c r="E454" s="4" t="s">
        <x:v>27</x:v>
      </x:c>
      <x:c r="F454" s="4">
        <x:v>21.0</x:v>
      </x:c>
      <x:c r="G454" s="4">
        <x:v>22.0</x:v>
      </x:c>
      <x:c r="H454" s="4">
        <x:v>-1.0</x:v>
      </x:c>
      <x:c r="I454" s="4">
        <x:v>22.0</x:v>
      </x:c>
      <x:c r="J454" s="4">
        <x:v>23.0</x:v>
      </x:c>
      <x:c r="K454" s="4">
        <x:v>-1.0</x:v>
      </x:c>
      <x:c r="L454" s="4">
        <x:v>142.0</x:v>
      </x:c>
      <x:c r="M454" s="4">
        <x:v>142.0</x:v>
      </x:c>
    </x:row>
    <x:row r="455" ht="15.75" customHeight="1">
      <x:c r="A455" s="4">
        <x:v>5672.0</x:v>
      </x:c>
      <x:c r="B455" s="4" t="s">
        <x:v>496</x:v>
      </x:c>
      <x:c r="C455" s="4" t="s">
        <x:v>497</x:v>
      </x:c>
      <x:c r="D455" s="4" t="s">
        <x:v>513</x:v>
      </x:c>
      <x:c r="E455" s="4" t="s">
        <x:v>31</x:v>
      </x:c>
      <x:c r="F455" s="4">
        <x:v>21.0</x:v>
      </x:c>
      <x:c r="G455" s="4">
        <x:v>20.0</x:v>
      </x:c>
      <x:c r="H455" s="4">
        <x:v>1.0</x:v>
      </x:c>
      <x:c r="I455" s="4">
        <x:v>21.0</x:v>
      </x:c>
      <x:c r="J455" s="4">
        <x:v>20.0</x:v>
      </x:c>
      <x:c r="K455" s="4">
        <x:v>1.0</x:v>
      </x:c>
      <x:c r="L455" s="4">
        <x:v>102.0</x:v>
      </x:c>
      <x:c r="M455" s="4">
        <x:v>102.0</x:v>
      </x:c>
    </x:row>
    <x:row r="456" ht="15.75" customHeight="1">
      <x:c r="A456" s="4">
        <x:v>531.0</x:v>
      </x:c>
      <x:c r="B456" s="4" t="s">
        <x:v>496</x:v>
      </x:c>
      <x:c r="C456" s="4" t="s">
        <x:v>496</x:v>
      </x:c>
      <x:c r="D456" s="4" t="s">
        <x:v>514</x:v>
      </x:c>
      <x:c r="E456" s="4" t="s">
        <x:v>49</x:v>
      </x:c>
      <x:c r="F456" s="4">
        <x:v>21.0</x:v>
      </x:c>
      <x:c r="G456" s="4">
        <x:v>21.0</x:v>
      </x:c>
      <x:c r="H456" s="4">
        <x:v>0.0</x:v>
      </x:c>
      <x:c r="I456" s="4">
        <x:v>21.0</x:v>
      </x:c>
      <x:c r="J456" s="4">
        <x:v>21.0</x:v>
      </x:c>
      <x:c r="K456" s="4">
        <x:v>0.0</x:v>
      </x:c>
      <x:c r="L456" s="4">
        <x:v>144.0</x:v>
      </x:c>
      <x:c r="M456" s="4">
        <x:v>144.0</x:v>
      </x:c>
    </x:row>
    <x:row r="457" ht="15.75" customHeight="1">
      <x:c r="A457" s="4">
        <x:v>2137.0</x:v>
      </x:c>
      <x:c r="B457" s="4" t="s">
        <x:v>496</x:v>
      </x:c>
      <x:c r="C457" s="4" t="s">
        <x:v>497</x:v>
      </x:c>
      <x:c r="D457" s="4" t="s">
        <x:v>515</x:v>
      </x:c>
      <x:c r="E457" s="4" t="s">
        <x:v>27</x:v>
      </x:c>
      <x:c r="F457" s="4">
        <x:v>20.0</x:v>
      </x:c>
      <x:c r="G457" s="4">
        <x:v>19.0</x:v>
      </x:c>
      <x:c r="H457" s="4">
        <x:v>1.0</x:v>
      </x:c>
      <x:c r="I457" s="4">
        <x:v>20.0</x:v>
      </x:c>
      <x:c r="J457" s="4">
        <x:v>19.0</x:v>
      </x:c>
      <x:c r="K457" s="4">
        <x:v>1.0</x:v>
      </x:c>
      <x:c r="L457" s="4">
        <x:v>119.0</x:v>
      </x:c>
      <x:c r="M457" s="4">
        <x:v>119.0</x:v>
      </x:c>
    </x:row>
    <x:row r="458" ht="15.75" customHeight="1">
      <x:c r="A458" s="4">
        <x:v>6572.0</x:v>
      </x:c>
      <x:c r="B458" s="4" t="s">
        <x:v>496</x:v>
      </x:c>
      <x:c r="C458" s="4" t="s">
        <x:v>497</x:v>
      </x:c>
      <x:c r="D458" s="4" t="s">
        <x:v>516</x:v>
      </x:c>
      <x:c r="E458" s="4" t="s">
        <x:v>33</x:v>
      </x:c>
      <x:c r="F458" s="4">
        <x:v>20.0</x:v>
      </x:c>
      <x:c r="G458" s="4">
        <x:v>19.0</x:v>
      </x:c>
      <x:c r="H458" s="4">
        <x:v>1.0</x:v>
      </x:c>
      <x:c r="I458" s="4">
        <x:v>20.0</x:v>
      </x:c>
      <x:c r="J458" s="4">
        <x:v>19.0</x:v>
      </x:c>
      <x:c r="K458" s="4">
        <x:v>1.0</x:v>
      </x:c>
      <x:c r="L458" s="4">
        <x:v>128.0</x:v>
      </x:c>
      <x:c r="M458" s="4">
        <x:v>128.0</x:v>
      </x:c>
    </x:row>
    <x:row r="459" ht="15.75" customHeight="1">
      <x:c r="A459" s="4">
        <x:v>6435.0</x:v>
      </x:c>
      <x:c r="B459" s="4" t="s">
        <x:v>496</x:v>
      </x:c>
      <x:c r="C459" s="4" t="s">
        <x:v>497</x:v>
      </x:c>
      <x:c r="D459" s="4" t="s">
        <x:v>517</x:v>
      </x:c>
      <x:c r="E459" s="4" t="s">
        <x:v>27</x:v>
      </x:c>
      <x:c r="F459" s="4">
        <x:v>20.0</x:v>
      </x:c>
      <x:c r="G459" s="4">
        <x:v>20.0</x:v>
      </x:c>
      <x:c r="H459" s="4">
        <x:v>0.0</x:v>
      </x:c>
      <x:c r="I459" s="4">
        <x:v>20.0</x:v>
      </x:c>
      <x:c r="J459" s="4">
        <x:v>20.0</x:v>
      </x:c>
      <x:c r="K459" s="4">
        <x:v>0.0</x:v>
      </x:c>
      <x:c r="L459" s="4">
        <x:v>148.0</x:v>
      </x:c>
      <x:c r="M459" s="4">
        <x:v>148.0</x:v>
      </x:c>
    </x:row>
    <x:row r="460" ht="15.75" customHeight="1">
      <x:c r="A460" s="4">
        <x:v>5734.0</x:v>
      </x:c>
      <x:c r="B460" s="4" t="s">
        <x:v>496</x:v>
      </x:c>
      <x:c r="C460" s="4" t="s">
        <x:v>496</x:v>
      </x:c>
      <x:c r="D460" s="4" t="s">
        <x:v>518</x:v>
      </x:c>
      <x:c r="E460" s="4" t="s">
        <x:v>25</x:v>
      </x:c>
      <x:c r="F460" s="4">
        <x:v>20.0</x:v>
      </x:c>
      <x:c r="G460" s="4">
        <x:v>20.0</x:v>
      </x:c>
      <x:c r="H460" s="4">
        <x:v>0.0</x:v>
      </x:c>
      <x:c r="I460" s="4">
        <x:v>21.0</x:v>
      </x:c>
      <x:c r="J460" s="4">
        <x:v>21.0</x:v>
      </x:c>
      <x:c r="K460" s="4">
        <x:v>0.0</x:v>
      </x:c>
      <x:c r="L460" s="4">
        <x:v>153.0</x:v>
      </x:c>
      <x:c r="M460" s="4">
        <x:v>153.0</x:v>
      </x:c>
    </x:row>
    <x:row r="461" ht="15.75" customHeight="1">
      <x:c r="A461" s="4">
        <x:v>6675.0</x:v>
      </x:c>
      <x:c r="B461" s="4" t="s">
        <x:v>496</x:v>
      </x:c>
      <x:c r="C461" s="4" t="s">
        <x:v>497</x:v>
      </x:c>
      <x:c r="D461" s="4" t="s">
        <x:v>519</x:v>
      </x:c>
      <x:c r="E461" s="4" t="s">
        <x:v>25</x:v>
      </x:c>
      <x:c r="F461" s="4">
        <x:v>20.0</x:v>
      </x:c>
      <x:c r="G461" s="4">
        <x:v>21.0</x:v>
      </x:c>
      <x:c r="H461" s="4">
        <x:v>-1.0</x:v>
      </x:c>
      <x:c r="I461" s="4">
        <x:v>20.0</x:v>
      </x:c>
      <x:c r="J461" s="4">
        <x:v>21.0</x:v>
      </x:c>
      <x:c r="K461" s="4">
        <x:v>-1.0</x:v>
      </x:c>
      <x:c r="L461" s="4">
        <x:v>70.0</x:v>
      </x:c>
      <x:c r="M461" s="4">
        <x:v>70.0</x:v>
      </x:c>
    </x:row>
    <x:row r="462" ht="15.75" customHeight="1">
      <x:c r="A462" s="4">
        <x:v>4728.0</x:v>
      </x:c>
      <x:c r="B462" s="4" t="s">
        <x:v>496</x:v>
      </x:c>
      <x:c r="C462" s="4" t="s">
        <x:v>496</x:v>
      </x:c>
      <x:c r="D462" s="4" t="s">
        <x:v>520</x:v>
      </x:c>
      <x:c r="E462" s="4" t="s">
        <x:v>21</x:v>
      </x:c>
      <x:c r="F462" s="4">
        <x:v>20.0</x:v>
      </x:c>
      <x:c r="G462" s="4">
        <x:v>20.0</x:v>
      </x:c>
      <x:c r="H462" s="4">
        <x:v>0.0</x:v>
      </x:c>
      <x:c r="I462" s="4">
        <x:v>20.0</x:v>
      </x:c>
      <x:c r="J462" s="4">
        <x:v>20.0</x:v>
      </x:c>
      <x:c r="K462" s="4">
        <x:v>0.0</x:v>
      </x:c>
      <x:c r="L462" s="4">
        <x:v>135.0</x:v>
      </x:c>
      <x:c r="M462" s="4">
        <x:v>135.0</x:v>
      </x:c>
    </x:row>
    <x:row r="463" ht="15.75" customHeight="1">
      <x:c r="A463" s="4">
        <x:v>785.0</x:v>
      </x:c>
      <x:c r="B463" s="4" t="s">
        <x:v>496</x:v>
      </x:c>
      <x:c r="C463" s="4" t="s">
        <x:v>497</x:v>
      </x:c>
      <x:c r="D463" s="4" t="s">
        <x:v>521</x:v>
      </x:c>
      <x:c r="E463" s="4" t="s">
        <x:v>33</x:v>
      </x:c>
      <x:c r="F463" s="4">
        <x:v>19.0</x:v>
      </x:c>
      <x:c r="G463" s="4">
        <x:v>19.0</x:v>
      </x:c>
      <x:c r="H463" s="4">
        <x:v>0.0</x:v>
      </x:c>
      <x:c r="I463" s="4">
        <x:v>19.0</x:v>
      </x:c>
      <x:c r="J463" s="4">
        <x:v>19.0</x:v>
      </x:c>
      <x:c r="K463" s="4">
        <x:v>0.0</x:v>
      </x:c>
      <x:c r="L463" s="4">
        <x:v>100.0</x:v>
      </x:c>
      <x:c r="M463" s="4">
        <x:v>100.0</x:v>
      </x:c>
    </x:row>
    <x:row r="464" ht="15.75" customHeight="1">
      <x:c r="A464" s="4">
        <x:v>6365.0</x:v>
      </x:c>
      <x:c r="B464" s="4" t="s">
        <x:v>496</x:v>
      </x:c>
      <x:c r="C464" s="4" t="s">
        <x:v>497</x:v>
      </x:c>
      <x:c r="D464" s="4" t="s">
        <x:v>522</x:v>
      </x:c>
      <x:c r="E464" s="4" t="s">
        <x:v>25</x:v>
      </x:c>
      <x:c r="F464" s="4">
        <x:v>19.0</x:v>
      </x:c>
      <x:c r="G464" s="4">
        <x:v>19.0</x:v>
      </x:c>
      <x:c r="H464" s="4">
        <x:v>0.0</x:v>
      </x:c>
      <x:c r="I464" s="4">
        <x:v>19.0</x:v>
      </x:c>
      <x:c r="J464" s="4">
        <x:v>19.0</x:v>
      </x:c>
      <x:c r="K464" s="4">
        <x:v>0.0</x:v>
      </x:c>
      <x:c r="L464" s="4">
        <x:v>162.0</x:v>
      </x:c>
      <x:c r="M464" s="4">
        <x:v>162.0</x:v>
      </x:c>
    </x:row>
    <x:row r="465" ht="15.75" customHeight="1">
      <x:c r="A465" s="4">
        <x:v>608.0</x:v>
      </x:c>
      <x:c r="B465" s="4" t="s">
        <x:v>496</x:v>
      </x:c>
      <x:c r="C465" s="4" t="s">
        <x:v>497</x:v>
      </x:c>
      <x:c r="D465" s="4" t="s">
        <x:v>523</x:v>
      </x:c>
      <x:c r="E465" s="4" t="s">
        <x:v>41</x:v>
      </x:c>
      <x:c r="F465" s="4">
        <x:v>19.0</x:v>
      </x:c>
      <x:c r="G465" s="4">
        <x:v>20.0</x:v>
      </x:c>
      <x:c r="H465" s="4">
        <x:v>-1.0</x:v>
      </x:c>
      <x:c r="I465" s="4">
        <x:v>19.0</x:v>
      </x:c>
      <x:c r="J465" s="4">
        <x:v>20.0</x:v>
      </x:c>
      <x:c r="K465" s="4">
        <x:v>-1.0</x:v>
      </x:c>
      <x:c r="L465" s="4">
        <x:v>90.0</x:v>
      </x:c>
      <x:c r="M465" s="4">
        <x:v>87.0</x:v>
      </x:c>
    </x:row>
    <x:row r="466" ht="15.75" customHeight="1">
      <x:c r="A466" s="4">
        <x:v>7120.0</x:v>
      </x:c>
      <x:c r="B466" s="4" t="s">
        <x:v>496</x:v>
      </x:c>
      <x:c r="C466" s="4" t="s">
        <x:v>496</x:v>
      </x:c>
      <x:c r="D466" s="4" t="s">
        <x:v>524</x:v>
      </x:c>
      <x:c r="E466" s="4" t="s">
        <x:v>23</x:v>
      </x:c>
      <x:c r="F466" s="4">
        <x:v>18.0</x:v>
      </x:c>
      <x:c r="G466" s="4">
        <x:v>19.0</x:v>
      </x:c>
      <x:c r="H466" s="4">
        <x:v>-1.0</x:v>
      </x:c>
      <x:c r="I466" s="4">
        <x:v>19.0</x:v>
      </x:c>
      <x:c r="J466" s="4">
        <x:v>20.0</x:v>
      </x:c>
      <x:c r="K466" s="4">
        <x:v>-1.0</x:v>
      </x:c>
      <x:c r="L466" s="4">
        <x:v>47.0</x:v>
      </x:c>
      <x:c r="M466" s="4">
        <x:v>47.0</x:v>
      </x:c>
    </x:row>
    <x:row r="467" ht="15.75" customHeight="1">
      <x:c r="A467" s="4">
        <x:v>313.0</x:v>
      </x:c>
      <x:c r="B467" s="4" t="s">
        <x:v>496</x:v>
      </x:c>
      <x:c r="C467" s="4" t="s">
        <x:v>497</x:v>
      </x:c>
      <x:c r="D467" s="4" t="s">
        <x:v>525</x:v>
      </x:c>
      <x:c r="E467" s="4" t="s">
        <x:v>35</x:v>
      </x:c>
      <x:c r="F467" s="4">
        <x:v>18.0</x:v>
      </x:c>
      <x:c r="G467" s="4">
        <x:v>18.0</x:v>
      </x:c>
      <x:c r="H467" s="4">
        <x:v>0.0</x:v>
      </x:c>
      <x:c r="I467" s="4">
        <x:v>18.0</x:v>
      </x:c>
      <x:c r="J467" s="4">
        <x:v>18.0</x:v>
      </x:c>
      <x:c r="K467" s="4">
        <x:v>0.0</x:v>
      </x:c>
      <x:c r="L467" s="4">
        <x:v>78.0</x:v>
      </x:c>
      <x:c r="M467" s="4">
        <x:v>75.0</x:v>
      </x:c>
    </x:row>
    <x:row r="468" ht="15.75" customHeight="1">
      <x:c r="A468" s="4">
        <x:v>4359.0</x:v>
      </x:c>
      <x:c r="B468" s="4" t="s">
        <x:v>496</x:v>
      </x:c>
      <x:c r="C468" s="4" t="s">
        <x:v>497</x:v>
      </x:c>
      <x:c r="D468" s="4" t="s">
        <x:v>526</x:v>
      </x:c>
      <x:c r="E468" s="4" t="s">
        <x:v>29</x:v>
      </x:c>
      <x:c r="F468" s="4">
        <x:v>17.0</x:v>
      </x:c>
      <x:c r="G468" s="4">
        <x:v>17.0</x:v>
      </x:c>
      <x:c r="H468" s="4">
        <x:v>0.0</x:v>
      </x:c>
      <x:c r="I468" s="4">
        <x:v>17.0</x:v>
      </x:c>
      <x:c r="J468" s="4">
        <x:v>17.0</x:v>
      </x:c>
      <x:c r="K468" s="4">
        <x:v>0.0</x:v>
      </x:c>
      <x:c r="L468" s="4">
        <x:v>80.0</x:v>
      </x:c>
      <x:c r="M468" s="4">
        <x:v>77.0</x:v>
      </x:c>
    </x:row>
    <x:row r="469" ht="15.75" customHeight="1">
      <x:c r="A469" s="4">
        <x:v>6967.0</x:v>
      </x:c>
      <x:c r="B469" s="4" t="s">
        <x:v>496</x:v>
      </x:c>
      <x:c r="C469" s="4" t="s">
        <x:v>302</x:v>
      </x:c>
      <x:c r="D469" s="4" t="s">
        <x:v>527</x:v>
      </x:c>
      <x:c r="E469" s="4" t="s">
        <x:v>35</x:v>
      </x:c>
      <x:c r="F469" s="4">
        <x:v>16.0</x:v>
      </x:c>
      <x:c r="G469" s="4">
        <x:v>17.0</x:v>
      </x:c>
      <x:c r="H469" s="4">
        <x:v>-1.0</x:v>
      </x:c>
      <x:c r="I469" s="4">
        <x:v>17.0</x:v>
      </x:c>
      <x:c r="J469" s="4">
        <x:v>18.0</x:v>
      </x:c>
      <x:c r="K469" s="4">
        <x:v>-1.0</x:v>
      </x:c>
      <x:c r="L469" s="4">
        <x:v>60.0</x:v>
      </x:c>
      <x:c r="M469" s="4">
        <x:v>65.0</x:v>
      </x:c>
    </x:row>
    <x:row r="470" ht="15.75" customHeight="1">
      <x:c r="A470" s="4">
        <x:v>2038.0</x:v>
      </x:c>
      <x:c r="B470" s="4" t="s">
        <x:v>496</x:v>
      </x:c>
      <x:c r="C470" s="4" t="s">
        <x:v>497</x:v>
      </x:c>
      <x:c r="D470" s="4" t="s">
        <x:v>528</x:v>
      </x:c>
      <x:c r="E470" s="4" t="s">
        <x:v>49</x:v>
      </x:c>
      <x:c r="F470" s="4">
        <x:v>16.0</x:v>
      </x:c>
      <x:c r="G470" s="4">
        <x:v>16.0</x:v>
      </x:c>
      <x:c r="H470" s="4">
        <x:v>0.0</x:v>
      </x:c>
      <x:c r="I470" s="4">
        <x:v>16.0</x:v>
      </x:c>
      <x:c r="J470" s="4">
        <x:v>16.0</x:v>
      </x:c>
      <x:c r="K470" s="4">
        <x:v>0.0</x:v>
      </x:c>
      <x:c r="L470" s="4">
        <x:v>82.0</x:v>
      </x:c>
      <x:c r="M470" s="4">
        <x:v>79.0</x:v>
      </x:c>
    </x:row>
    <x:row r="471" ht="15.75" customHeight="1">
      <x:c r="A471" s="4">
        <x:v>6552.0</x:v>
      </x:c>
      <x:c r="B471" s="4" t="s">
        <x:v>496</x:v>
      </x:c>
      <x:c r="C471" s="4" t="s">
        <x:v>497</x:v>
      </x:c>
      <x:c r="D471" s="4" t="s">
        <x:v>529</x:v>
      </x:c>
      <x:c r="E471" s="4" t="s">
        <x:v>57</x:v>
      </x:c>
      <x:c r="F471" s="4">
        <x:v>15.0</x:v>
      </x:c>
      <x:c r="G471" s="4">
        <x:v>15.0</x:v>
      </x:c>
      <x:c r="H471" s="4">
        <x:v>0.0</x:v>
      </x:c>
      <x:c r="I471" s="4">
        <x:v>15.0</x:v>
      </x:c>
      <x:c r="J471" s="4">
        <x:v>15.0</x:v>
      </x:c>
      <x:c r="K471" s="4">
        <x:v>0.0</x:v>
      </x:c>
      <x:c r="L471" s="4">
        <x:v>46.0</x:v>
      </x:c>
      <x:c r="M471" s="4">
        <x:v>46.0</x:v>
      </x:c>
    </x:row>
    <x:row r="472" ht="15.75" customHeight="1">
      <x:c r="A472" s="4">
        <x:v>2499.0</x:v>
      </x:c>
      <x:c r="B472" s="4" t="s">
        <x:v>496</x:v>
      </x:c>
      <x:c r="C472" s="4" t="s">
        <x:v>497</x:v>
      </x:c>
      <x:c r="D472" s="4" t="s">
        <x:v>530</x:v>
      </x:c>
      <x:c r="E472" s="4" t="s">
        <x:v>47</x:v>
      </x:c>
      <x:c r="F472" s="4">
        <x:v>15.0</x:v>
      </x:c>
      <x:c r="G472" s="4">
        <x:v>15.0</x:v>
      </x:c>
      <x:c r="H472" s="4">
        <x:v>0.0</x:v>
      </x:c>
      <x:c r="I472" s="4">
        <x:v>15.0</x:v>
      </x:c>
      <x:c r="J472" s="4">
        <x:v>15.0</x:v>
      </x:c>
      <x:c r="K472" s="4">
        <x:v>0.0</x:v>
      </x:c>
      <x:c r="L472" s="4">
        <x:v>55.0</x:v>
      </x:c>
      <x:c r="M472" s="4">
        <x:v>55.0</x:v>
      </x:c>
    </x:row>
    <x:row r="473" ht="15.75" customHeight="1">
      <x:c r="A473" s="4">
        <x:v>647.0</x:v>
      </x:c>
      <x:c r="B473" s="4" t="s">
        <x:v>496</x:v>
      </x:c>
      <x:c r="C473" s="4" t="s">
        <x:v>497</x:v>
      </x:c>
      <x:c r="D473" s="4" t="s">
        <x:v>531</x:v>
      </x:c>
      <x:c r="E473" s="4" t="s">
        <x:v>29</x:v>
      </x:c>
      <x:c r="F473" s="4">
        <x:v>14.0</x:v>
      </x:c>
      <x:c r="G473" s="4">
        <x:v>15.0</x:v>
      </x:c>
      <x:c r="H473" s="4">
        <x:v>-1.0</x:v>
      </x:c>
      <x:c r="I473" s="4">
        <x:v>14.0</x:v>
      </x:c>
      <x:c r="J473" s="4">
        <x:v>15.0</x:v>
      </x:c>
      <x:c r="K473" s="4">
        <x:v>-1.0</x:v>
      </x:c>
      <x:c r="L473" s="4">
        <x:v>42.0</x:v>
      </x:c>
      <x:c r="M473" s="4">
        <x:v>39.0</x:v>
      </x:c>
    </x:row>
    <x:row r="474" ht="15.75" customHeight="1">
      <x:c r="A474" s="4">
        <x:v>6215.0</x:v>
      </x:c>
      <x:c r="B474" s="4" t="s">
        <x:v>496</x:v>
      </x:c>
      <x:c r="C474" s="4" t="s">
        <x:v>497</x:v>
      </x:c>
      <x:c r="D474" s="4" t="s">
        <x:v>532</x:v>
      </x:c>
      <x:c r="E474" s="4" t="s">
        <x:v>23</x:v>
      </x:c>
      <x:c r="F474" s="4">
        <x:v>14.0</x:v>
      </x:c>
      <x:c r="G474" s="4">
        <x:v>15.0</x:v>
      </x:c>
      <x:c r="H474" s="4">
        <x:v>-1.0</x:v>
      </x:c>
      <x:c r="I474" s="4">
        <x:v>13.0</x:v>
      </x:c>
      <x:c r="J474" s="4">
        <x:v>14.0</x:v>
      </x:c>
      <x:c r="K474" s="4">
        <x:v>-1.0</x:v>
      </x:c>
      <x:c r="L474" s="4">
        <x:v>72.0</x:v>
      </x:c>
      <x:c r="M474" s="4">
        <x:v>72.0</x:v>
      </x:c>
    </x:row>
    <x:row r="475" ht="15.75" customHeight="1">
      <x:c r="A475" s="4">
        <x:v>6060.0</x:v>
      </x:c>
      <x:c r="B475" s="4" t="s">
        <x:v>496</x:v>
      </x:c>
      <x:c r="C475" s="4" t="s">
        <x:v>496</x:v>
      </x:c>
      <x:c r="D475" s="4" t="s">
        <x:v>533</x:v>
      </x:c>
      <x:c r="E475" s="4" t="s">
        <x:v>49</x:v>
      </x:c>
      <x:c r="F475" s="4">
        <x:v>14.0</x:v>
      </x:c>
      <x:c r="G475" s="4">
        <x:v>15.0</x:v>
      </x:c>
      <x:c r="H475" s="4">
        <x:v>-1.0</x:v>
      </x:c>
      <x:c r="I475" s="4">
        <x:v>14.0</x:v>
      </x:c>
      <x:c r="J475" s="4">
        <x:v>15.0</x:v>
      </x:c>
      <x:c r="K475" s="4">
        <x:v>-1.0</x:v>
      </x:c>
      <x:c r="L475" s="4">
        <x:v>47.0</x:v>
      </x:c>
      <x:c r="M475" s="4">
        <x:v>47.0</x:v>
      </x:c>
    </x:row>
    <x:row r="476" ht="15.75" customHeight="1">
      <x:c r="A476" s="4">
        <x:v>7128.0</x:v>
      </x:c>
      <x:c r="B476" s="4" t="s">
        <x:v>496</x:v>
      </x:c>
      <x:c r="C476" s="4" t="s">
        <x:v>302</x:v>
      </x:c>
      <x:c r="D476" s="4" t="s">
        <x:v>534</x:v>
      </x:c>
      <x:c r="E476" s="4" t="s">
        <x:v>35</x:v>
      </x:c>
      <x:c r="F476" s="4">
        <x:v>13.0</x:v>
      </x:c>
      <x:c r="G476" s="4">
        <x:v>14.0</x:v>
      </x:c>
      <x:c r="H476" s="4">
        <x:v>-1.0</x:v>
      </x:c>
      <x:c r="I476" s="4">
        <x:v>14.0</x:v>
      </x:c>
      <x:c r="J476" s="4">
        <x:v>15.0</x:v>
      </x:c>
      <x:c r="K476" s="4">
        <x:v>-1.0</x:v>
      </x:c>
      <x:c r="L476" s="4">
        <x:v>33.0</x:v>
      </x:c>
      <x:c r="M476" s="4">
        <x:v>38.0</x:v>
      </x:c>
    </x:row>
    <x:row r="477" ht="15.75" customHeight="1">
      <x:c r="A477" s="4">
        <x:v>2489.0</x:v>
      </x:c>
      <x:c r="B477" s="4" t="s">
        <x:v>496</x:v>
      </x:c>
      <x:c r="C477" s="4" t="s">
        <x:v>496</x:v>
      </x:c>
      <x:c r="D477" s="4" t="s">
        <x:v>535</x:v>
      </x:c>
      <x:c r="E477" s="4" t="s">
        <x:v>31</x:v>
      </x:c>
      <x:c r="F477" s="4">
        <x:v>13.0</x:v>
      </x:c>
      <x:c r="G477" s="4">
        <x:v>13.0</x:v>
      </x:c>
      <x:c r="H477" s="4">
        <x:v>0.0</x:v>
      </x:c>
      <x:c r="I477" s="4">
        <x:v>13.0</x:v>
      </x:c>
      <x:c r="J477" s="4">
        <x:v>13.0</x:v>
      </x:c>
      <x:c r="K477" s="4">
        <x:v>0.0</x:v>
      </x:c>
      <x:c r="L477" s="4">
        <x:v>35.0</x:v>
      </x:c>
      <x:c r="M477" s="4">
        <x:v>35.0</x:v>
      </x:c>
    </x:row>
    <x:row r="478" ht="15.75" customHeight="1">
      <x:c r="A478" s="4">
        <x:v>7023.0</x:v>
      </x:c>
      <x:c r="B478" s="4" t="s">
        <x:v>496</x:v>
      </x:c>
      <x:c r="C478" s="4" t="s">
        <x:v>497</x:v>
      </x:c>
      <x:c r="D478" s="4" t="s">
        <x:v>536</x:v>
      </x:c>
      <x:c r="E478" s="4" t="s">
        <x:v>45</x:v>
      </x:c>
      <x:c r="F478" s="4">
        <x:v>13.0</x:v>
      </x:c>
      <x:c r="G478" s="4">
        <x:v>13.0</x:v>
      </x:c>
      <x:c r="H478" s="4">
        <x:v>0.0</x:v>
      </x:c>
      <x:c r="I478" s="4">
        <x:v>12.0</x:v>
      </x:c>
      <x:c r="J478" s="4">
        <x:v>12.0</x:v>
      </x:c>
      <x:c r="K478" s="4">
        <x:v>0.0</x:v>
      </x:c>
      <x:c r="L478" s="4">
        <x:v>70.0</x:v>
      </x:c>
      <x:c r="M478" s="4">
        <x:v>67.0</x:v>
      </x:c>
    </x:row>
    <x:row r="479" ht="15.75" customHeight="1">
      <x:c r="A479" s="4">
        <x:v>6646.0</x:v>
      </x:c>
      <x:c r="B479" s="4" t="s">
        <x:v>496</x:v>
      </x:c>
      <x:c r="C479" s="4" t="s">
        <x:v>496</x:v>
      </x:c>
      <x:c r="D479" s="4" t="s">
        <x:v>537</x:v>
      </x:c>
      <x:c r="E479" s="4" t="s">
        <x:v>41</x:v>
      </x:c>
      <x:c r="F479" s="4">
        <x:v>13.0</x:v>
      </x:c>
      <x:c r="G479" s="4">
        <x:v>14.0</x:v>
      </x:c>
      <x:c r="H479" s="4">
        <x:v>-1.0</x:v>
      </x:c>
      <x:c r="I479" s="4">
        <x:v>13.0</x:v>
      </x:c>
      <x:c r="J479" s="4">
        <x:v>14.0</x:v>
      </x:c>
      <x:c r="K479" s="4">
        <x:v>-1.0</x:v>
      </x:c>
      <x:c r="L479" s="4">
        <x:v>49.0</x:v>
      </x:c>
      <x:c r="M479" s="4">
        <x:v>49.0</x:v>
      </x:c>
    </x:row>
    <x:row r="480" ht="15.75" customHeight="1">
      <x:c r="A480" s="4">
        <x:v>5637.0</x:v>
      </x:c>
      <x:c r="B480" s="4" t="s">
        <x:v>496</x:v>
      </x:c>
      <x:c r="C480" s="4" t="s">
        <x:v>497</x:v>
      </x:c>
      <x:c r="D480" s="4" t="s">
        <x:v>538</x:v>
      </x:c>
      <x:c r="E480" s="4" t="s">
        <x:v>51</x:v>
      </x:c>
      <x:c r="F480" s="4">
        <x:v>13.0</x:v>
      </x:c>
      <x:c r="G480" s="4">
        <x:v>12.0</x:v>
      </x:c>
      <x:c r="H480" s="4">
        <x:v>1.0</x:v>
      </x:c>
      <x:c r="I480" s="4">
        <x:v>12.0</x:v>
      </x:c>
      <x:c r="J480" s="4">
        <x:v>11.0</x:v>
      </x:c>
      <x:c r="K480" s="4">
        <x:v>1.0</x:v>
      </x:c>
      <x:c r="L480" s="4">
        <x:v>50.0</x:v>
      </x:c>
      <x:c r="M480" s="4">
        <x:v>47.0</x:v>
      </x:c>
    </x:row>
    <x:row r="481" ht="15.75" customHeight="1">
      <x:c r="A481" s="4">
        <x:v>7252.0</x:v>
      </x:c>
      <x:c r="B481" s="4" t="s">
        <x:v>496</x:v>
      </x:c>
      <x:c r="C481" s="4" t="s">
        <x:v>497</x:v>
      </x:c>
      <x:c r="D481" s="4" t="s">
        <x:v>539</x:v>
      </x:c>
      <x:c r="E481" s="4" t="s">
        <x:v>43</x:v>
      </x:c>
      <x:c r="F481" s="4">
        <x:v>13.0</x:v>
      </x:c>
      <x:c r="G481" s="4">
        <x:v>13.0</x:v>
      </x:c>
      <x:c r="H481" s="4">
        <x:v>0.0</x:v>
      </x:c>
      <x:c r="I481" s="4">
        <x:v>13.0</x:v>
      </x:c>
      <x:c r="J481" s="4">
        <x:v>13.0</x:v>
      </x:c>
      <x:c r="K481" s="4">
        <x:v>0.0</x:v>
      </x:c>
      <x:c r="L481" s="4">
        <x:v>31.0</x:v>
      </x:c>
      <x:c r="M481" s="4">
        <x:v>31.0</x:v>
      </x:c>
    </x:row>
    <x:row r="482" ht="15.75" customHeight="1">
      <x:c r="A482" s="4">
        <x:v>5297.0</x:v>
      </x:c>
      <x:c r="B482" s="4" t="s">
        <x:v>496</x:v>
      </x:c>
      <x:c r="C482" s="4" t="s">
        <x:v>496</x:v>
      </x:c>
      <x:c r="D482" s="4" t="s">
        <x:v>540</x:v>
      </x:c>
      <x:c r="E482" s="4" t="s">
        <x:v>39</x:v>
      </x:c>
      <x:c r="F482" s="4">
        <x:v>12.0</x:v>
      </x:c>
      <x:c r="G482" s="4">
        <x:v>12.0</x:v>
      </x:c>
      <x:c r="H482" s="4">
        <x:v>0.0</x:v>
      </x:c>
      <x:c r="I482" s="4">
        <x:v>12.0</x:v>
      </x:c>
      <x:c r="J482" s="4">
        <x:v>12.0</x:v>
      </x:c>
      <x:c r="K482" s="4">
        <x:v>0.0</x:v>
      </x:c>
      <x:c r="L482" s="4">
        <x:v>18.0</x:v>
      </x:c>
      <x:c r="M482" s="4">
        <x:v>18.0</x:v>
      </x:c>
    </x:row>
    <x:row r="483" ht="15.75" customHeight="1">
      <x:c r="A483" s="4">
        <x:v>5336.0</x:v>
      </x:c>
      <x:c r="B483" s="4" t="s">
        <x:v>496</x:v>
      </x:c>
      <x:c r="C483" s="4" t="s">
        <x:v>497</x:v>
      </x:c>
      <x:c r="D483" s="4" t="s">
        <x:v>541</x:v>
      </x:c>
      <x:c r="E483" s="4" t="s">
        <x:v>55</x:v>
      </x:c>
      <x:c r="F483" s="4">
        <x:v>12.0</x:v>
      </x:c>
      <x:c r="G483" s="4">
        <x:v>12.0</x:v>
      </x:c>
      <x:c r="H483" s="4">
        <x:v>0.0</x:v>
      </x:c>
      <x:c r="I483" s="4">
        <x:v>12.0</x:v>
      </x:c>
      <x:c r="J483" s="4">
        <x:v>12.0</x:v>
      </x:c>
      <x:c r="K483" s="4">
        <x:v>0.0</x:v>
      </x:c>
      <x:c r="L483" s="4">
        <x:v>28.0</x:v>
      </x:c>
      <x:c r="M483" s="4">
        <x:v>25.0</x:v>
      </x:c>
    </x:row>
    <x:row r="484" ht="15.75" customHeight="1">
      <x:c r="A484" s="4">
        <x:v>441.0</x:v>
      </x:c>
      <x:c r="B484" s="4" t="s">
        <x:v>496</x:v>
      </x:c>
      <x:c r="C484" s="4" t="s">
        <x:v>497</x:v>
      </x:c>
      <x:c r="D484" s="4" t="s">
        <x:v>542</x:v>
      </x:c>
      <x:c r="E484" s="4" t="s">
        <x:v>39</x:v>
      </x:c>
      <x:c r="F484" s="4">
        <x:v>12.0</x:v>
      </x:c>
      <x:c r="G484" s="4">
        <x:v>12.0</x:v>
      </x:c>
      <x:c r="H484" s="4">
        <x:v>0.0</x:v>
      </x:c>
      <x:c r="I484" s="4">
        <x:v>11.0</x:v>
      </x:c>
      <x:c r="J484" s="4">
        <x:v>11.0</x:v>
      </x:c>
      <x:c r="K484" s="4">
        <x:v>0.0</x:v>
      </x:c>
      <x:c r="L484" s="4">
        <x:v>22.0</x:v>
      </x:c>
      <x:c r="M484" s="4">
        <x:v>20.0</x:v>
      </x:c>
    </x:row>
    <x:row r="485" ht="15.75" customHeight="1">
      <x:c r="A485" s="4">
        <x:v>4436.0</x:v>
      </x:c>
      <x:c r="B485" s="4" t="s">
        <x:v>496</x:v>
      </x:c>
      <x:c r="C485" s="4" t="s">
        <x:v>496</x:v>
      </x:c>
      <x:c r="D485" s="4" t="s">
        <x:v>543</x:v>
      </x:c>
      <x:c r="E485" s="4" t="s">
        <x:v>33</x:v>
      </x:c>
      <x:c r="F485" s="4">
        <x:v>11.0</x:v>
      </x:c>
      <x:c r="G485" s="4">
        <x:v>11.0</x:v>
      </x:c>
      <x:c r="H485" s="4">
        <x:v>0.0</x:v>
      </x:c>
      <x:c r="I485" s="4">
        <x:v>11.0</x:v>
      </x:c>
      <x:c r="J485" s="4">
        <x:v>11.0</x:v>
      </x:c>
      <x:c r="K485" s="4">
        <x:v>0.0</x:v>
      </x:c>
      <x:c r="L485" s="4">
        <x:v>25.0</x:v>
      </x:c>
      <x:c r="M485" s="4">
        <x:v>25.0</x:v>
      </x:c>
    </x:row>
    <x:row r="486" ht="15.75" customHeight="1">
      <x:c r="A486" s="4">
        <x:v>2155.0</x:v>
      </x:c>
      <x:c r="B486" s="4" t="s">
        <x:v>496</x:v>
      </x:c>
      <x:c r="C486" s="4" t="s">
        <x:v>497</x:v>
      </x:c>
      <x:c r="D486" s="4" t="s">
        <x:v>544</x:v>
      </x:c>
      <x:c r="E486" s="4" t="s">
        <x:v>45</x:v>
      </x:c>
      <x:c r="F486" s="4">
        <x:v>11.0</x:v>
      </x:c>
      <x:c r="G486" s="4">
        <x:v>10.0</x:v>
      </x:c>
      <x:c r="H486" s="4">
        <x:v>1.0</x:v>
      </x:c>
      <x:c r="I486" s="4">
        <x:v>11.0</x:v>
      </x:c>
      <x:c r="J486" s="4">
        <x:v>10.0</x:v>
      </x:c>
      <x:c r="K486" s="4">
        <x:v>1.0</x:v>
      </x:c>
      <x:c r="L486" s="4">
        <x:v>24.0</x:v>
      </x:c>
      <x:c r="M486" s="4">
        <x:v>21.0</x:v>
      </x:c>
    </x:row>
    <x:row r="487" ht="15.75" customHeight="1">
      <x:c r="A487" s="4">
        <x:v>4923.0</x:v>
      </x:c>
      <x:c r="B487" s="4" t="s">
        <x:v>496</x:v>
      </x:c>
      <x:c r="C487" s="4" t="s">
        <x:v>497</x:v>
      </x:c>
      <x:c r="D487" s="4" t="s">
        <x:v>545</x:v>
      </x:c>
      <x:c r="E487" s="4" t="s">
        <x:v>37</x:v>
      </x:c>
      <x:c r="F487" s="4">
        <x:v>11.0</x:v>
      </x:c>
      <x:c r="G487" s="4">
        <x:v>12.0</x:v>
      </x:c>
      <x:c r="H487" s="4">
        <x:v>-1.0</x:v>
      </x:c>
      <x:c r="I487" s="4">
        <x:v>10.0</x:v>
      </x:c>
      <x:c r="J487" s="4">
        <x:v>11.0</x:v>
      </x:c>
      <x:c r="K487" s="4">
        <x:v>-1.0</x:v>
      </x:c>
      <x:c r="L487" s="4">
        <x:v>41.0</x:v>
      </x:c>
      <x:c r="M487" s="4">
        <x:v>38.0</x:v>
      </x:c>
    </x:row>
    <x:row r="488" ht="15.75" customHeight="1">
      <x:c r="A488" s="4">
        <x:v>6164.0</x:v>
      </x:c>
      <x:c r="B488" s="4" t="s">
        <x:v>496</x:v>
      </x:c>
      <x:c r="C488" s="4" t="s">
        <x:v>497</x:v>
      </x:c>
      <x:c r="D488" s="4" t="s">
        <x:v>546</x:v>
      </x:c>
      <x:c r="E488" s="4" t="s">
        <x:v>37</x:v>
      </x:c>
      <x:c r="F488" s="4">
        <x:v>11.0</x:v>
      </x:c>
      <x:c r="G488" s="4">
        <x:v>12.0</x:v>
      </x:c>
      <x:c r="H488" s="4">
        <x:v>-1.0</x:v>
      </x:c>
      <x:c r="I488" s="4">
        <x:v>10.0</x:v>
      </x:c>
      <x:c r="J488" s="4">
        <x:v>11.0</x:v>
      </x:c>
      <x:c r="K488" s="4">
        <x:v>-1.0</x:v>
      </x:c>
      <x:c r="L488" s="4">
        <x:v>18.0</x:v>
      </x:c>
      <x:c r="M488" s="4">
        <x:v>15.0</x:v>
      </x:c>
    </x:row>
    <x:row r="489" ht="15.75" customHeight="1">
      <x:c r="A489" s="4">
        <x:v>6519.0</x:v>
      </x:c>
      <x:c r="B489" s="4" t="s">
        <x:v>496</x:v>
      </x:c>
      <x:c r="C489" s="4" t="s">
        <x:v>497</x:v>
      </x:c>
      <x:c r="D489" s="4" t="s">
        <x:v>547</x:v>
      </x:c>
      <x:c r="E489" s="4" t="s">
        <x:v>43</x:v>
      </x:c>
      <x:c r="F489" s="4">
        <x:v>11.0</x:v>
      </x:c>
      <x:c r="G489" s="4">
        <x:v>12.0</x:v>
      </x:c>
      <x:c r="H489" s="4">
        <x:v>-1.0</x:v>
      </x:c>
      <x:c r="I489" s="4">
        <x:v>11.0</x:v>
      </x:c>
      <x:c r="J489" s="4">
        <x:v>12.0</x:v>
      </x:c>
      <x:c r="K489" s="4">
        <x:v>-1.0</x:v>
      </x:c>
      <x:c r="L489" s="4">
        <x:v>22.0</x:v>
      </x:c>
      <x:c r="M489" s="4">
        <x:v>19.0</x:v>
      </x:c>
    </x:row>
    <x:row r="490" ht="15.75" customHeight="1">
      <x:c r="A490" s="4">
        <x:v>6643.0</x:v>
      </x:c>
      <x:c r="B490" s="4" t="s">
        <x:v>496</x:v>
      </x:c>
      <x:c r="C490" s="4" t="s">
        <x:v>497</x:v>
      </x:c>
      <x:c r="D490" s="4" t="s">
        <x:v>548</x:v>
      </x:c>
      <x:c r="E490" s="4" t="s">
        <x:v>33</x:v>
      </x:c>
      <x:c r="F490" s="4">
        <x:v>10.0</x:v>
      </x:c>
      <x:c r="G490" s="4">
        <x:v>10.0</x:v>
      </x:c>
      <x:c r="H490" s="4">
        <x:v>0.0</x:v>
      </x:c>
      <x:c r="I490" s="4">
        <x:v>10.0</x:v>
      </x:c>
      <x:c r="J490" s="4">
        <x:v>10.0</x:v>
      </x:c>
      <x:c r="K490" s="4">
        <x:v>0.0</x:v>
      </x:c>
      <x:c r="L490" s="4">
        <x:v>13.0</x:v>
      </x:c>
      <x:c r="M490" s="4">
        <x:v>10.0</x:v>
      </x:c>
    </x:row>
    <x:row r="491" ht="15.75" customHeight="1">
      <x:c r="A491" s="4">
        <x:v>7017.0</x:v>
      </x:c>
      <x:c r="B491" s="4" t="s">
        <x:v>496</x:v>
      </x:c>
      <x:c r="C491" s="4" t="s">
        <x:v>497</x:v>
      </x:c>
      <x:c r="D491" s="4" t="s">
        <x:v>549</x:v>
      </x:c>
      <x:c r="E491" s="4" t="s">
        <x:v>35</x:v>
      </x:c>
      <x:c r="F491" s="4">
        <x:v>9.0</x:v>
      </x:c>
      <x:c r="G491" s="4">
        <x:v>8.0</x:v>
      </x:c>
      <x:c r="H491" s="4">
        <x:v>1.0</x:v>
      </x:c>
      <x:c r="I491" s="4">
        <x:v>8.0</x:v>
      </x:c>
      <x:c r="J491" s="4">
        <x:v>7.0</x:v>
      </x:c>
      <x:c r="K491" s="4">
        <x:v>1.0</x:v>
      </x:c>
      <x:c r="L491" s="4">
        <x:v>30.0</x:v>
      </x:c>
      <x:c r="M491" s="4">
        <x:v>27.0</x:v>
      </x:c>
    </x:row>
    <x:row r="492" ht="15.75" customHeight="1">
      <x:c r="A492" s="4">
        <x:v>5512.0</x:v>
      </x:c>
      <x:c r="B492" s="4" t="s">
        <x:v>496</x:v>
      </x:c>
      <x:c r="C492" s="4" t="s">
        <x:v>497</x:v>
      </x:c>
      <x:c r="D492" s="4" t="s">
        <x:v>550</x:v>
      </x:c>
      <x:c r="E492" s="4" t="s">
        <x:v>47</x:v>
      </x:c>
      <x:c r="F492" s="4">
        <x:v>9.0</x:v>
      </x:c>
      <x:c r="G492" s="4">
        <x:v>8.0</x:v>
      </x:c>
      <x:c r="H492" s="4">
        <x:v>1.0</x:v>
      </x:c>
      <x:c r="I492" s="4">
        <x:v>8.0</x:v>
      </x:c>
      <x:c r="J492" s="4">
        <x:v>7.0</x:v>
      </x:c>
      <x:c r="K492" s="4">
        <x:v>1.0</x:v>
      </x:c>
      <x:c r="L492" s="4">
        <x:v>5.0</x:v>
      </x:c>
      <x:c r="M492" s="4">
        <x:v>5.0</x:v>
      </x:c>
    </x:row>
    <x:row r="493" ht="15.75" customHeight="1">
      <x:c r="A493" s="4">
        <x:v>7249.0</x:v>
      </x:c>
      <x:c r="B493" s="4" t="s">
        <x:v>496</x:v>
      </x:c>
      <x:c r="C493" s="4" t="s">
        <x:v>497</x:v>
      </x:c>
      <x:c r="D493" s="4" t="s">
        <x:v>551</x:v>
      </x:c>
      <x:c r="E493" s="4" t="s">
        <x:v>51</x:v>
      </x:c>
      <x:c r="F493" s="4">
        <x:v>9.0</x:v>
      </x:c>
      <x:c r="G493" s="4">
        <x:v>9.0</x:v>
      </x:c>
      <x:c r="H493" s="4">
        <x:v>0.0</x:v>
      </x:c>
      <x:c r="I493" s="4">
        <x:v>9.0</x:v>
      </x:c>
      <x:c r="J493" s="4">
        <x:v>9.0</x:v>
      </x:c>
      <x:c r="K493" s="4">
        <x:v>0.0</x:v>
      </x:c>
      <x:c r="L493" s="4">
        <x:v>31.0</x:v>
      </x:c>
      <x:c r="M493" s="4">
        <x:v>31.0</x:v>
      </x:c>
    </x:row>
    <x:row r="494" ht="15.75" customHeight="1">
      <x:c r="A494" s="4">
        <x:v>5918.0</x:v>
      </x:c>
      <x:c r="B494" s="4" t="s">
        <x:v>496</x:v>
      </x:c>
      <x:c r="C494" s="4" t="s">
        <x:v>496</x:v>
      </x:c>
      <x:c r="D494" s="4" t="s">
        <x:v>552</x:v>
      </x:c>
      <x:c r="E494" s="4" t="s">
        <x:v>27</x:v>
      </x:c>
      <x:c r="F494" s="4">
        <x:v>8.0</x:v>
      </x:c>
      <x:c r="G494" s="4">
        <x:v>9.0</x:v>
      </x:c>
      <x:c r="H494" s="4">
        <x:v>-1.0</x:v>
      </x:c>
      <x:c r="I494" s="4">
        <x:v>8.0</x:v>
      </x:c>
      <x:c r="J494" s="4">
        <x:v>9.0</x:v>
      </x:c>
      <x:c r="K494" s="4">
        <x:v>-1.0</x:v>
      </x:c>
      <x:c r="L494" s="4">
        <x:v>20.0</x:v>
      </x:c>
      <x:c r="M494" s="4">
        <x:v>20.0</x:v>
      </x:c>
    </x:row>
    <x:row r="495" ht="15.75" customHeight="1">
      <x:c r="A495" s="4">
        <x:v>6895.0</x:v>
      </x:c>
      <x:c r="B495" s="4" t="s">
        <x:v>496</x:v>
      </x:c>
      <x:c r="C495" s="4" t="s">
        <x:v>302</x:v>
      </x:c>
      <x:c r="D495" s="4" t="s">
        <x:v>553</x:v>
      </x:c>
      <x:c r="E495" s="4" t="s">
        <x:v>33</x:v>
      </x:c>
      <x:c r="F495" s="4">
        <x:v>8.0</x:v>
      </x:c>
      <x:c r="G495" s="4">
        <x:v>9.0</x:v>
      </x:c>
      <x:c r="H495" s="4">
        <x:v>-1.0</x:v>
      </x:c>
      <x:c r="I495" s="4">
        <x:v>8.0</x:v>
      </x:c>
      <x:c r="J495" s="4">
        <x:v>9.0</x:v>
      </x:c>
      <x:c r="K495" s="4">
        <x:v>-1.0</x:v>
      </x:c>
      <x:c r="L495" s="4">
        <x:v>17.0</x:v>
      </x:c>
      <x:c r="M495" s="4">
        <x:v>20.0</x:v>
      </x:c>
    </x:row>
    <x:row r="496" ht="15.75" customHeight="1">
      <x:c r="A496" s="4">
        <x:v>2061.0</x:v>
      </x:c>
      <x:c r="B496" s="4" t="s">
        <x:v>496</x:v>
      </x:c>
      <x:c r="C496" s="4" t="s">
        <x:v>497</x:v>
      </x:c>
      <x:c r="D496" s="4" t="s">
        <x:v>554</x:v>
      </x:c>
      <x:c r="E496" s="4" t="s">
        <x:v>41</x:v>
      </x:c>
      <x:c r="F496" s="4">
        <x:v>8.0</x:v>
      </x:c>
      <x:c r="G496" s="4">
        <x:v>8.0</x:v>
      </x:c>
      <x:c r="H496" s="4">
        <x:v>0.0</x:v>
      </x:c>
      <x:c r="I496" s="4">
        <x:v>7.0</x:v>
      </x:c>
      <x:c r="J496" s="4">
        <x:v>7.0</x:v>
      </x:c>
      <x:c r="K496" s="4">
        <x:v>0.0</x:v>
      </x:c>
      <x:c r="L496" s="4">
        <x:v>27.0</x:v>
      </x:c>
      <x:c r="M496" s="4">
        <x:v>24.0</x:v>
      </x:c>
    </x:row>
    <x:row r="497" ht="15.75" customHeight="1">
      <x:c r="A497" s="4">
        <x:v>5471.0</x:v>
      </x:c>
      <x:c r="B497" s="4" t="s">
        <x:v>496</x:v>
      </x:c>
      <x:c r="C497" s="4" t="s">
        <x:v>497</x:v>
      </x:c>
      <x:c r="D497" s="4" t="s">
        <x:v>555</x:v>
      </x:c>
      <x:c r="E497" s="4" t="s">
        <x:v>45</x:v>
      </x:c>
      <x:c r="F497" s="4">
        <x:v>8.0</x:v>
      </x:c>
      <x:c r="G497" s="4">
        <x:v>9.0</x:v>
      </x:c>
      <x:c r="H497" s="4">
        <x:v>-1.0</x:v>
      </x:c>
      <x:c r="I497" s="4">
        <x:v>7.0</x:v>
      </x:c>
      <x:c r="J497" s="4">
        <x:v>8.0</x:v>
      </x:c>
      <x:c r="K497" s="4">
        <x:v>-1.0</x:v>
      </x:c>
      <x:c r="L497" s="4">
        <x:v>14.0</x:v>
      </x:c>
      <x:c r="M497" s="4">
        <x:v>11.0</x:v>
      </x:c>
    </x:row>
    <x:row r="498" ht="15.75" customHeight="1">
      <x:c r="A498" s="4">
        <x:v>6145.0</x:v>
      </x:c>
      <x:c r="B498" s="4" t="s">
        <x:v>496</x:v>
      </x:c>
      <x:c r="C498" s="4" t="s">
        <x:v>496</x:v>
      </x:c>
      <x:c r="D498" s="4" t="s">
        <x:v>556</x:v>
      </x:c>
      <x:c r="E498" s="4" t="s">
        <x:v>41</x:v>
      </x:c>
      <x:c r="F498" s="4">
        <x:v>8.0</x:v>
      </x:c>
      <x:c r="G498" s="4">
        <x:v>9.0</x:v>
      </x:c>
      <x:c r="H498" s="4">
        <x:v>-1.0</x:v>
      </x:c>
      <x:c r="I498" s="4">
        <x:v>8.0</x:v>
      </x:c>
      <x:c r="J498" s="4">
        <x:v>9.0</x:v>
      </x:c>
      <x:c r="K498" s="4">
        <x:v>-1.0</x:v>
      </x:c>
      <x:c r="L498" s="4">
        <x:v>20.0</x:v>
      </x:c>
      <x:c r="M498" s="4">
        <x:v>20.0</x:v>
      </x:c>
    </x:row>
    <x:row r="499" ht="15.75" customHeight="1">
      <x:c r="A499" s="4">
        <x:v>479.0</x:v>
      </x:c>
      <x:c r="B499" s="4" t="s">
        <x:v>496</x:v>
      </x:c>
      <x:c r="C499" s="4" t="s">
        <x:v>497</x:v>
      </x:c>
      <x:c r="D499" s="4" t="s">
        <x:v>557</x:v>
      </x:c>
      <x:c r="E499" s="4" t="s">
        <x:v>47</x:v>
      </x:c>
      <x:c r="F499" s="4">
        <x:v>8.0</x:v>
      </x:c>
      <x:c r="G499" s="4">
        <x:v>7.0</x:v>
      </x:c>
      <x:c r="H499" s="4">
        <x:v>1.0</x:v>
      </x:c>
      <x:c r="I499" s="4">
        <x:v>7.0</x:v>
      </x:c>
      <x:c r="J499" s="4">
        <x:v>6.0</x:v>
      </x:c>
      <x:c r="K499" s="4">
        <x:v>1.0</x:v>
      </x:c>
      <x:c r="L499" s="4">
        <x:v>35.0</x:v>
      </x:c>
      <x:c r="M499" s="4">
        <x:v>32.0</x:v>
      </x:c>
    </x:row>
    <x:row r="500" ht="15.75" customHeight="1">
      <x:c r="A500" s="4">
        <x:v>7183.0</x:v>
      </x:c>
      <x:c r="B500" s="4" t="s">
        <x:v>496</x:v>
      </x:c>
      <x:c r="C500" s="4" t="s">
        <x:v>496</x:v>
      </x:c>
      <x:c r="D500" s="4" t="s">
        <x:v>558</x:v>
      </x:c>
      <x:c r="E500" s="4" t="s">
        <x:v>41</x:v>
      </x:c>
      <x:c r="F500" s="4">
        <x:v>8.0</x:v>
      </x:c>
      <x:c r="G500" s="4">
        <x:v>9.0</x:v>
      </x:c>
      <x:c r="H500" s="4">
        <x:v>-1.0</x:v>
      </x:c>
      <x:c r="I500" s="4">
        <x:v>8.0</x:v>
      </x:c>
      <x:c r="J500" s="4">
        <x:v>9.0</x:v>
      </x:c>
      <x:c r="K500" s="4">
        <x:v>-1.0</x:v>
      </x:c>
      <x:c r="L500" s="4">
        <x:v>15.0</x:v>
      </x:c>
      <x:c r="M500" s="4">
        <x:v>15.0</x:v>
      </x:c>
    </x:row>
    <x:row r="501" ht="15.75" customHeight="1">
      <x:c r="A501" s="4">
        <x:v>4463.0</x:v>
      </x:c>
      <x:c r="B501" s="4" t="s">
        <x:v>496</x:v>
      </x:c>
      <x:c r="C501" s="4" t="s">
        <x:v>496</x:v>
      </x:c>
      <x:c r="D501" s="4" t="s">
        <x:v>559</x:v>
      </x:c>
      <x:c r="E501" s="4" t="s">
        <x:v>39</x:v>
      </x:c>
      <x:c r="F501" s="4">
        <x:v>7.0</x:v>
      </x:c>
      <x:c r="G501" s="4">
        <x:v>7.0</x:v>
      </x:c>
      <x:c r="H501" s="4">
        <x:v>0.0</x:v>
      </x:c>
      <x:c r="I501" s="4">
        <x:v>7.0</x:v>
      </x:c>
      <x:c r="J501" s="4">
        <x:v>7.0</x:v>
      </x:c>
      <x:c r="K501" s="4">
        <x:v>0.0</x:v>
      </x:c>
      <x:c r="L501" s="4">
        <x:v>66.0</x:v>
      </x:c>
      <x:c r="M501" s="4">
        <x:v>66.0</x:v>
      </x:c>
    </x:row>
    <x:row r="502" ht="15.75" customHeight="1">
      <x:c r="A502" s="4">
        <x:v>6669.0</x:v>
      </x:c>
      <x:c r="B502" s="4" t="s">
        <x:v>496</x:v>
      </x:c>
      <x:c r="C502" s="4" t="s">
        <x:v>497</x:v>
      </x:c>
      <x:c r="D502" s="4" t="s">
        <x:v>560</x:v>
      </x:c>
      <x:c r="E502" s="4" t="s">
        <x:v>19</x:v>
      </x:c>
      <x:c r="F502" s="4">
        <x:v>7.0</x:v>
      </x:c>
      <x:c r="G502" s="4">
        <x:v>5.0</x:v>
      </x:c>
      <x:c r="H502" s="4">
        <x:v>2.0</x:v>
      </x:c>
      <x:c r="I502" s="4">
        <x:v>7.0</x:v>
      </x:c>
      <x:c r="J502" s="4">
        <x:v>5.0</x:v>
      </x:c>
      <x:c r="K502" s="4">
        <x:v>2.0</x:v>
      </x:c>
      <x:c r="L502" s="4">
        <x:v>37.0</x:v>
      </x:c>
      <x:c r="M502" s="4">
        <x:v>34.0</x:v>
      </x:c>
    </x:row>
    <x:row r="503" ht="15.75" customHeight="1">
      <x:c r="A503" s="4">
        <x:v>7071.0</x:v>
      </x:c>
      <x:c r="B503" s="4" t="s">
        <x:v>496</x:v>
      </x:c>
      <x:c r="C503" s="4" t="s">
        <x:v>497</x:v>
      </x:c>
      <x:c r="D503" s="4" t="s">
        <x:v>561</x:v>
      </x:c>
      <x:c r="E503" s="4" t="s">
        <x:v>19</x:v>
      </x:c>
      <x:c r="F503" s="4">
        <x:v>7.0</x:v>
      </x:c>
      <x:c r="G503" s="4">
        <x:v>7.0</x:v>
      </x:c>
      <x:c r="H503" s="4">
        <x:v>0.0</x:v>
      </x:c>
      <x:c r="I503" s="4">
        <x:v>7.0</x:v>
      </x:c>
      <x:c r="J503" s="4">
        <x:v>7.0</x:v>
      </x:c>
      <x:c r="K503" s="4">
        <x:v>0.0</x:v>
      </x:c>
      <x:c r="L503" s="4">
        <x:v>16.0</x:v>
      </x:c>
      <x:c r="M503" s="4">
        <x:v>13.0</x:v>
      </x:c>
    </x:row>
    <x:row r="504" ht="15.75" customHeight="1">
      <x:c r="A504" s="4">
        <x:v>6159.0</x:v>
      </x:c>
      <x:c r="B504" s="4" t="s">
        <x:v>496</x:v>
      </x:c>
      <x:c r="C504" s="4" t="s">
        <x:v>496</x:v>
      </x:c>
      <x:c r="D504" s="4" t="s">
        <x:v>562</x:v>
      </x:c>
      <x:c r="E504" s="4" t="s">
        <x:v>57</x:v>
      </x:c>
      <x:c r="F504" s="4">
        <x:v>7.0</x:v>
      </x:c>
      <x:c r="G504" s="4">
        <x:v>8.0</x:v>
      </x:c>
      <x:c r="H504" s="4">
        <x:v>-1.0</x:v>
      </x:c>
      <x:c r="I504" s="4">
        <x:v>7.0</x:v>
      </x:c>
      <x:c r="J504" s="4">
        <x:v>8.0</x:v>
      </x:c>
      <x:c r="K504" s="4">
        <x:v>-1.0</x:v>
      </x:c>
      <x:c r="L504" s="4">
        <x:v>21.0</x:v>
      </x:c>
      <x:c r="M504" s="4">
        <x:v>21.0</x:v>
      </x:c>
    </x:row>
    <x:row r="505" ht="15.75" customHeight="1">
      <x:c r="A505" s="4">
        <x:v>6630.0</x:v>
      </x:c>
      <x:c r="B505" s="4" t="s">
        <x:v>496</x:v>
      </x:c>
      <x:c r="C505" s="4" t="s">
        <x:v>497</x:v>
      </x:c>
      <x:c r="D505" s="4" t="s">
        <x:v>563</x:v>
      </x:c>
      <x:c r="E505" s="4" t="s">
        <x:v>57</x:v>
      </x:c>
      <x:c r="F505" s="4">
        <x:v>7.0</x:v>
      </x:c>
      <x:c r="G505" s="4">
        <x:v>6.0</x:v>
      </x:c>
      <x:c r="H505" s="4">
        <x:v>1.0</x:v>
      </x:c>
      <x:c r="I505" s="4">
        <x:v>7.0</x:v>
      </x:c>
      <x:c r="J505" s="4">
        <x:v>6.0</x:v>
      </x:c>
      <x:c r="K505" s="4">
        <x:v>1.0</x:v>
      </x:c>
      <x:c r="L505" s="4">
        <x:v>14.0</x:v>
      </x:c>
      <x:c r="M505" s="4">
        <x:v>14.0</x:v>
      </x:c>
    </x:row>
    <x:row r="506" ht="15.75" customHeight="1">
      <x:c r="A506" s="4">
        <x:v>7127.0</x:v>
      </x:c>
      <x:c r="B506" s="4" t="s">
        <x:v>496</x:v>
      </x:c>
      <x:c r="C506" s="4" t="s">
        <x:v>302</x:v>
      </x:c>
      <x:c r="D506" s="4" t="s">
        <x:v>564</x:v>
      </x:c>
      <x:c r="E506" s="4" t="s">
        <x:v>35</x:v>
      </x:c>
      <x:c r="F506" s="4">
        <x:v>6.0</x:v>
      </x:c>
      <x:c r="G506" s="4">
        <x:v>7.0</x:v>
      </x:c>
      <x:c r="H506" s="4">
        <x:v>-1.0</x:v>
      </x:c>
      <x:c r="I506" s="4">
        <x:v>6.0</x:v>
      </x:c>
      <x:c r="J506" s="4">
        <x:v>7.0</x:v>
      </x:c>
      <x:c r="K506" s="4">
        <x:v>-1.0</x:v>
      </x:c>
      <x:c r="L506" s="4">
        <x:v>16.0</x:v>
      </x:c>
      <x:c r="M506" s="4">
        <x:v>19.0</x:v>
      </x:c>
    </x:row>
    <x:row r="507" ht="15.75" customHeight="1">
      <x:c r="A507" s="4">
        <x:v>7129.0</x:v>
      </x:c>
      <x:c r="B507" s="4" t="s">
        <x:v>496</x:v>
      </x:c>
      <x:c r="C507" s="4" t="s">
        <x:v>302</x:v>
      </x:c>
      <x:c r="D507" s="4" t="s">
        <x:v>565</x:v>
      </x:c>
      <x:c r="E507" s="4" t="s">
        <x:v>35</x:v>
      </x:c>
      <x:c r="F507" s="4">
        <x:v>6.0</x:v>
      </x:c>
      <x:c r="G507" s="4">
        <x:v>5.0</x:v>
      </x:c>
      <x:c r="H507" s="4">
        <x:v>1.0</x:v>
      </x:c>
      <x:c r="I507" s="4">
        <x:v>6.0</x:v>
      </x:c>
      <x:c r="J507" s="4">
        <x:v>5.0</x:v>
      </x:c>
      <x:c r="K507" s="4">
        <x:v>1.0</x:v>
      </x:c>
      <x:c r="L507" s="4">
        <x:v>18.0</x:v>
      </x:c>
      <x:c r="M507" s="4">
        <x:v>21.0</x:v>
      </x:c>
    </x:row>
    <x:row r="508" ht="15.75" customHeight="1">
      <x:c r="A508" s="4">
        <x:v>5496.0</x:v>
      </x:c>
      <x:c r="B508" s="4" t="s">
        <x:v>496</x:v>
      </x:c>
      <x:c r="C508" s="4" t="s">
        <x:v>496</x:v>
      </x:c>
      <x:c r="D508" s="4" t="s">
        <x:v>566</x:v>
      </x:c>
      <x:c r="E508" s="4" t="s">
        <x:v>47</x:v>
      </x:c>
      <x:c r="F508" s="4">
        <x:v>6.0</x:v>
      </x:c>
      <x:c r="G508" s="4">
        <x:v>7.0</x:v>
      </x:c>
      <x:c r="H508" s="4">
        <x:v>-1.0</x:v>
      </x:c>
      <x:c r="I508" s="4">
        <x:v>6.0</x:v>
      </x:c>
      <x:c r="J508" s="4">
        <x:v>7.0</x:v>
      </x:c>
      <x:c r="K508" s="4">
        <x:v>-1.0</x:v>
      </x:c>
      <x:c r="L508" s="4">
        <x:v>12.0</x:v>
      </x:c>
      <x:c r="M508" s="4">
        <x:v>12.0</x:v>
      </x:c>
    </x:row>
    <x:row r="509" ht="15.75" customHeight="1">
      <x:c r="A509" s="4">
        <x:v>5515.0</x:v>
      </x:c>
      <x:c r="B509" s="4" t="s">
        <x:v>496</x:v>
      </x:c>
      <x:c r="C509" s="4" t="s">
        <x:v>496</x:v>
      </x:c>
      <x:c r="D509" s="4" t="s">
        <x:v>567</x:v>
      </x:c>
      <x:c r="E509" s="4" t="s">
        <x:v>47</x:v>
      </x:c>
      <x:c r="F509" s="4">
        <x:v>6.0</x:v>
      </x:c>
      <x:c r="G509" s="4">
        <x:v>5.0</x:v>
      </x:c>
      <x:c r="H509" s="4">
        <x:v>1.0</x:v>
      </x:c>
      <x:c r="I509" s="4">
        <x:v>6.0</x:v>
      </x:c>
      <x:c r="J509" s="4">
        <x:v>5.0</x:v>
      </x:c>
      <x:c r="K509" s="4">
        <x:v>1.0</x:v>
      </x:c>
      <x:c r="L509" s="4">
        <x:v>3.0</x:v>
      </x:c>
      <x:c r="M509" s="4">
        <x:v>3.0</x:v>
      </x:c>
    </x:row>
    <x:row r="510" ht="15.75" customHeight="1">
      <x:c r="A510" s="4">
        <x:v>6556.0</x:v>
      </x:c>
      <x:c r="B510" s="4" t="s">
        <x:v>496</x:v>
      </x:c>
      <x:c r="C510" s="4" t="s">
        <x:v>496</x:v>
      </x:c>
      <x:c r="D510" s="4" t="s">
        <x:v>568</x:v>
      </x:c>
      <x:c r="E510" s="4" t="s">
        <x:v>31</x:v>
      </x:c>
      <x:c r="F510" s="4">
        <x:v>6.0</x:v>
      </x:c>
      <x:c r="G510" s="4">
        <x:v>7.0</x:v>
      </x:c>
      <x:c r="H510" s="4">
        <x:v>-1.0</x:v>
      </x:c>
      <x:c r="I510" s="4">
        <x:v>6.0</x:v>
      </x:c>
      <x:c r="J510" s="4">
        <x:v>7.0</x:v>
      </x:c>
      <x:c r="K510" s="4">
        <x:v>-1.0</x:v>
      </x:c>
      <x:c r="L510" s="4">
        <x:v>9.0</x:v>
      </x:c>
      <x:c r="M510" s="4">
        <x:v>9.0</x:v>
      </x:c>
    </x:row>
    <x:row r="511" ht="15.75" customHeight="1">
      <x:c r="A511" s="4">
        <x:v>5455.0</x:v>
      </x:c>
      <x:c r="B511" s="4" t="s">
        <x:v>496</x:v>
      </x:c>
      <x:c r="C511" s="4" t="s">
        <x:v>496</x:v>
      </x:c>
      <x:c r="D511" s="4" t="s">
        <x:v>569</x:v>
      </x:c>
      <x:c r="E511" s="4" t="s">
        <x:v>55</x:v>
      </x:c>
      <x:c r="F511" s="4">
        <x:v>6.0</x:v>
      </x:c>
      <x:c r="G511" s="4">
        <x:v>5.0</x:v>
      </x:c>
      <x:c r="H511" s="4">
        <x:v>1.0</x:v>
      </x:c>
      <x:c r="I511" s="4">
        <x:v>6.0</x:v>
      </x:c>
      <x:c r="J511" s="4">
        <x:v>5.0</x:v>
      </x:c>
      <x:c r="K511" s="4">
        <x:v>1.0</x:v>
      </x:c>
      <x:c r="L511" s="4">
        <x:v>13.0</x:v>
      </x:c>
      <x:c r="M511" s="4">
        <x:v>13.0</x:v>
      </x:c>
    </x:row>
    <x:row r="512" ht="15.75" customHeight="1">
      <x:c r="A512" s="4">
        <x:v>6653.0</x:v>
      </x:c>
      <x:c r="B512" s="4" t="s">
        <x:v>496</x:v>
      </x:c>
      <x:c r="C512" s="4" t="s">
        <x:v>496</x:v>
      </x:c>
      <x:c r="D512" s="4" t="s">
        <x:v>570</x:v>
      </x:c>
      <x:c r="E512" s="4" t="s">
        <x:v>51</x:v>
      </x:c>
      <x:c r="F512" s="4">
        <x:v>6.0</x:v>
      </x:c>
      <x:c r="G512" s="4">
        <x:v>6.0</x:v>
      </x:c>
      <x:c r="H512" s="4">
        <x:v>0.0</x:v>
      </x:c>
      <x:c r="I512" s="4">
        <x:v>6.0</x:v>
      </x:c>
      <x:c r="J512" s="4">
        <x:v>6.0</x:v>
      </x:c>
      <x:c r="K512" s="4">
        <x:v>0.0</x:v>
      </x:c>
      <x:c r="L512" s="4">
        <x:v>21.0</x:v>
      </x:c>
      <x:c r="M512" s="4">
        <x:v>21.0</x:v>
      </x:c>
    </x:row>
    <x:row r="513" ht="15.75" customHeight="1">
      <x:c r="A513" s="4">
        <x:v>7199.0</x:v>
      </x:c>
      <x:c r="B513" s="4" t="s">
        <x:v>496</x:v>
      </x:c>
      <x:c r="C513" s="4" t="s">
        <x:v>496</x:v>
      </x:c>
      <x:c r="D513" s="4" t="s">
        <x:v>571</x:v>
      </x:c>
      <x:c r="E513" s="4" t="s">
        <x:v>39</x:v>
      </x:c>
      <x:c r="F513" s="4">
        <x:v>6.0</x:v>
      </x:c>
      <x:c r="G513" s="4">
        <x:v>6.0</x:v>
      </x:c>
      <x:c r="H513" s="4">
        <x:v>0.0</x:v>
      </x:c>
      <x:c r="I513" s="4">
        <x:v>6.0</x:v>
      </x:c>
      <x:c r="J513" s="4">
        <x:v>6.0</x:v>
      </x:c>
      <x:c r="K513" s="4">
        <x:v>0.0</x:v>
      </x:c>
      <x:c r="L513" s="4">
        <x:v>14.0</x:v>
      </x:c>
      <x:c r="M513" s="4">
        <x:v>14.0</x:v>
      </x:c>
    </x:row>
    <x:row r="514" ht="15.75" customHeight="1">
      <x:c r="A514" s="4">
        <x:v>7213.0</x:v>
      </x:c>
      <x:c r="B514" s="4" t="s">
        <x:v>496</x:v>
      </x:c>
      <x:c r="C514" s="4" t="s">
        <x:v>497</x:v>
      </x:c>
      <x:c r="D514" s="4" t="s">
        <x:v>572</x:v>
      </x:c>
      <x:c r="E514" s="4" t="s">
        <x:v>45</x:v>
      </x:c>
      <x:c r="F514" s="4">
        <x:v>6.0</x:v>
      </x:c>
      <x:c r="G514" s="4">
        <x:v>7.0</x:v>
      </x:c>
      <x:c r="H514" s="4">
        <x:v>-1.0</x:v>
      </x:c>
      <x:c r="I514" s="4">
        <x:v>6.0</x:v>
      </x:c>
      <x:c r="J514" s="4">
        <x:v>6.0</x:v>
      </x:c>
      <x:c r="K514" s="4">
        <x:v>0.0</x:v>
      </x:c>
      <x:c r="L514" s="4">
        <x:v>7.0</x:v>
      </x:c>
      <x:c r="M514" s="4">
        <x:v>7.0</x:v>
      </x:c>
    </x:row>
    <x:row r="515" ht="15.75" customHeight="1">
      <x:c r="A515" s="4">
        <x:v>6555.0</x:v>
      </x:c>
      <x:c r="B515" s="4" t="s">
        <x:v>496</x:v>
      </x:c>
      <x:c r="C515" s="4" t="s">
        <x:v>497</x:v>
      </x:c>
      <x:c r="D515" s="4" t="s">
        <x:v>573</x:v>
      </x:c>
      <x:c r="E515" s="4" t="s">
        <x:v>47</x:v>
      </x:c>
      <x:c r="F515" s="4">
        <x:v>6.0</x:v>
      </x:c>
      <x:c r="G515" s="4">
        <x:v>6.0</x:v>
      </x:c>
      <x:c r="H515" s="4">
        <x:v>0.0</x:v>
      </x:c>
      <x:c r="I515" s="4">
        <x:v>6.0</x:v>
      </x:c>
      <x:c r="J515" s="4">
        <x:v>6.0</x:v>
      </x:c>
      <x:c r="K515" s="4">
        <x:v>0.0</x:v>
      </x:c>
      <x:c r="L515" s="4">
        <x:v>16.0</x:v>
      </x:c>
      <x:c r="M515" s="4">
        <x:v>16.0</x:v>
      </x:c>
    </x:row>
    <x:row r="516" ht="15.75" customHeight="1">
      <x:c r="A516" s="4">
        <x:v>6243.0</x:v>
      </x:c>
      <x:c r="B516" s="4" t="s">
        <x:v>496</x:v>
      </x:c>
      <x:c r="C516" s="4" t="s">
        <x:v>497</x:v>
      </x:c>
      <x:c r="D516" s="4" t="s">
        <x:v>574</x:v>
      </x:c>
      <x:c r="E516" s="4" t="s">
        <x:v>39</x:v>
      </x:c>
      <x:c r="F516" s="4">
        <x:v>5.0</x:v>
      </x:c>
      <x:c r="G516" s="4">
        <x:v>5.0</x:v>
      </x:c>
      <x:c r="H516" s="4">
        <x:v>0.0</x:v>
      </x:c>
      <x:c r="I516" s="4">
        <x:v>4.0</x:v>
      </x:c>
      <x:c r="J516" s="4">
        <x:v>4.0</x:v>
      </x:c>
      <x:c r="K516" s="4">
        <x:v>0.0</x:v>
      </x:c>
      <x:c r="L516" s="4">
        <x:v>12.0</x:v>
      </x:c>
      <x:c r="M516" s="4">
        <x:v>10.0</x:v>
      </x:c>
    </x:row>
    <x:row r="517" ht="15.75" customHeight="1">
      <x:c r="A517" s="4">
        <x:v>6001.0</x:v>
      </x:c>
      <x:c r="B517" s="4" t="s">
        <x:v>496</x:v>
      </x:c>
      <x:c r="C517" s="4" t="s">
        <x:v>302</x:v>
      </x:c>
      <x:c r="D517" s="4" t="s">
        <x:v>575</x:v>
      </x:c>
      <x:c r="E517" s="4" t="s">
        <x:v>43</x:v>
      </x:c>
      <x:c r="F517" s="4">
        <x:v>5.0</x:v>
      </x:c>
      <x:c r="G517" s="4">
        <x:v>5.0</x:v>
      </x:c>
      <x:c r="H517" s="4">
        <x:v>0.0</x:v>
      </x:c>
      <x:c r="I517" s="4">
        <x:v>5.0</x:v>
      </x:c>
      <x:c r="J517" s="4">
        <x:v>5.0</x:v>
      </x:c>
      <x:c r="K517" s="4">
        <x:v>0.0</x:v>
      </x:c>
      <x:c r="L517" s="4">
        <x:v>10.0</x:v>
      </x:c>
      <x:c r="M517" s="4">
        <x:v>13.0</x:v>
      </x:c>
    </x:row>
    <x:row r="518" ht="15.75" customHeight="1">
      <x:c r="A518" s="4">
        <x:v>6207.0</x:v>
      </x:c>
      <x:c r="B518" s="4" t="s">
        <x:v>496</x:v>
      </x:c>
      <x:c r="C518" s="4" t="s">
        <x:v>302</x:v>
      </x:c>
      <x:c r="D518" s="4" t="s">
        <x:v>576</x:v>
      </x:c>
      <x:c r="E518" s="4" t="s">
        <x:v>45</x:v>
      </x:c>
      <x:c r="F518" s="4">
        <x:v>5.0</x:v>
      </x:c>
      <x:c r="G518" s="4">
        <x:v>4.0</x:v>
      </x:c>
      <x:c r="H518" s="4">
        <x:v>1.0</x:v>
      </x:c>
      <x:c r="I518" s="4">
        <x:v>5.0</x:v>
      </x:c>
      <x:c r="J518" s="4">
        <x:v>4.0</x:v>
      </x:c>
      <x:c r="K518" s="4">
        <x:v>1.0</x:v>
      </x:c>
      <x:c r="L518" s="4">
        <x:v>13.0</x:v>
      </x:c>
      <x:c r="M518" s="4">
        <x:v>16.0</x:v>
      </x:c>
    </x:row>
    <x:row r="519" ht="15.75" customHeight="1">
      <x:c r="A519" s="4">
        <x:v>5500.0</x:v>
      </x:c>
      <x:c r="B519" s="4" t="s">
        <x:v>496</x:v>
      </x:c>
      <x:c r="C519" s="4" t="s">
        <x:v>302</x:v>
      </x:c>
      <x:c r="D519" s="4" t="s">
        <x:v>577</x:v>
      </x:c>
      <x:c r="E519" s="4" t="s">
        <x:v>31</x:v>
      </x:c>
      <x:c r="F519" s="4">
        <x:v>4.0</x:v>
      </x:c>
      <x:c r="G519" s="4">
        <x:v>3.0</x:v>
      </x:c>
      <x:c r="H519" s="4">
        <x:v>1.0</x:v>
      </x:c>
      <x:c r="I519" s="4">
        <x:v>4.0</x:v>
      </x:c>
      <x:c r="J519" s="4">
        <x:v>3.0</x:v>
      </x:c>
      <x:c r="K519" s="4">
        <x:v>1.0</x:v>
      </x:c>
      <x:c r="L519" s="4">
        <x:v>13.0</x:v>
      </x:c>
      <x:c r="M519" s="4">
        <x:v>16.0</x:v>
      </x:c>
    </x:row>
    <x:row r="520" ht="15.75" customHeight="1">
      <x:c r="A520" s="4">
        <x:v>7001.0</x:v>
      </x:c>
      <x:c r="B520" s="4" t="s">
        <x:v>496</x:v>
      </x:c>
      <x:c r="C520" s="4" t="s">
        <x:v>302</x:v>
      </x:c>
      <x:c r="D520" s="4" t="s">
        <x:v>578</x:v>
      </x:c>
      <x:c r="E520" s="4" t="s">
        <x:v>43</x:v>
      </x:c>
      <x:c r="F520" s="4">
        <x:v>4.0</x:v>
      </x:c>
      <x:c r="G520" s="4">
        <x:v>5.0</x:v>
      </x:c>
      <x:c r="H520" s="4">
        <x:v>-1.0</x:v>
      </x:c>
      <x:c r="I520" s="4">
        <x:v>4.0</x:v>
      </x:c>
      <x:c r="J520" s="4">
        <x:v>5.0</x:v>
      </x:c>
      <x:c r="K520" s="4">
        <x:v>-1.0</x:v>
      </x:c>
      <x:c r="L520" s="4">
        <x:v>8.0</x:v>
      </x:c>
      <x:c r="M520" s="4">
        <x:v>8.0</x:v>
      </x:c>
    </x:row>
    <x:row r="521" ht="15.75" customHeight="1">
      <x:c r="A521" s="4">
        <x:v>1842.0</x:v>
      </x:c>
      <x:c r="B521" s="4" t="s">
        <x:v>496</x:v>
      </x:c>
      <x:c r="C521" s="4" t="s">
        <x:v>496</x:v>
      </x:c>
      <x:c r="D521" s="4" t="s">
        <x:v>579</x:v>
      </x:c>
      <x:c r="E521" s="4" t="s">
        <x:v>49</x:v>
      </x:c>
      <x:c r="F521" s="4">
        <x:v>4.0</x:v>
      </x:c>
      <x:c r="G521" s="4">
        <x:v>5.0</x:v>
      </x:c>
      <x:c r="H521" s="4">
        <x:v>-1.0</x:v>
      </x:c>
      <x:c r="I521" s="4">
        <x:v>4.0</x:v>
      </x:c>
      <x:c r="J521" s="4">
        <x:v>5.0</x:v>
      </x:c>
      <x:c r="K521" s="4">
        <x:v>-1.0</x:v>
      </x:c>
      <x:c r="L521" s="4">
        <x:v>9.0</x:v>
      </x:c>
      <x:c r="M521" s="4">
        <x:v>9.0</x:v>
      </x:c>
    </x:row>
    <x:row r="522" ht="15.75" customHeight="1">
      <x:c r="A522" s="4">
        <x:v>7161.0</x:v>
      </x:c>
      <x:c r="B522" s="4" t="s">
        <x:v>496</x:v>
      </x:c>
      <x:c r="C522" s="4" t="s">
        <x:v>497</x:v>
      </x:c>
      <x:c r="D522" s="4" t="s">
        <x:v>580</x:v>
      </x:c>
      <x:c r="E522" s="4" t="s">
        <x:v>51</x:v>
      </x:c>
      <x:c r="F522" s="4">
        <x:v>4.0</x:v>
      </x:c>
      <x:c r="G522" s="4">
        <x:v>4.0</x:v>
      </x:c>
      <x:c r="H522" s="4">
        <x:v>0.0</x:v>
      </x:c>
      <x:c r="I522" s="4">
        <x:v>4.0</x:v>
      </x:c>
      <x:c r="J522" s="4">
        <x:v>4.0</x:v>
      </x:c>
      <x:c r="K522" s="4">
        <x:v>0.0</x:v>
      </x:c>
      <x:c r="L522" s="4">
        <x:v>12.0</x:v>
      </x:c>
      <x:c r="M522" s="4">
        <x:v>12.0</x:v>
      </x:c>
    </x:row>
    <x:row r="523" ht="15.75" customHeight="1">
      <x:c r="A523" s="4">
        <x:v>6439.0</x:v>
      </x:c>
      <x:c r="B523" s="4" t="s">
        <x:v>496</x:v>
      </x:c>
      <x:c r="C523" s="4" t="s">
        <x:v>497</x:v>
      </x:c>
      <x:c r="D523" s="4" t="s">
        <x:v>581</x:v>
      </x:c>
      <x:c r="E523" s="4" t="s">
        <x:v>49</x:v>
      </x:c>
      <x:c r="F523" s="4">
        <x:v>4.0</x:v>
      </x:c>
      <x:c r="G523" s="4">
        <x:v>4.0</x:v>
      </x:c>
      <x:c r="H523" s="4">
        <x:v>0.0</x:v>
      </x:c>
      <x:c r="I523" s="4">
        <x:v>4.0</x:v>
      </x:c>
      <x:c r="J523" s="4">
        <x:v>4.0</x:v>
      </x:c>
      <x:c r="K523" s="4">
        <x:v>0.0</x:v>
      </x:c>
      <x:c r="L523" s="4">
        <x:v>8.0</x:v>
      </x:c>
      <x:c r="M523" s="4">
        <x:v>8.0</x:v>
      </x:c>
    </x:row>
    <x:row r="524" ht="15.75" customHeight="1">
      <x:c r="A524" s="4">
        <x:v>505.0</x:v>
      </x:c>
      <x:c r="B524" s="4" t="s">
        <x:v>496</x:v>
      </x:c>
      <x:c r="C524" s="4" t="s">
        <x:v>496</x:v>
      </x:c>
      <x:c r="D524" s="4" t="s">
        <x:v>582</x:v>
      </x:c>
      <x:c r="E524" s="4" t="s">
        <x:v>47</x:v>
      </x:c>
      <x:c r="F524" s="4">
        <x:v>3.0</x:v>
      </x:c>
      <x:c r="G524" s="4">
        <x:v>1.0</x:v>
      </x:c>
      <x:c r="H524" s="4">
        <x:v>2.0</x:v>
      </x:c>
      <x:c r="I524" s="4">
        <x:v>3.0</x:v>
      </x:c>
      <x:c r="J524" s="4">
        <x:v>1.0</x:v>
      </x:c>
      <x:c r="K524" s="4">
        <x:v>2.0</x:v>
      </x:c>
      <x:c r="L524" s="4">
        <x:v>19.0</x:v>
      </x:c>
      <x:c r="M524" s="4">
        <x:v>19.0</x:v>
      </x:c>
    </x:row>
    <x:row r="525" ht="15.75" customHeight="1">
      <x:c r="A525" s="4">
        <x:v>7162.0</x:v>
      </x:c>
      <x:c r="B525" s="4" t="s">
        <x:v>496</x:v>
      </x:c>
      <x:c r="C525" s="4" t="s">
        <x:v>496</x:v>
      </x:c>
      <x:c r="D525" s="4" t="s">
        <x:v>583</x:v>
      </x:c>
      <x:c r="E525" s="4" t="s">
        <x:v>57</x:v>
      </x:c>
      <x:c r="F525" s="4">
        <x:v>3.0</x:v>
      </x:c>
      <x:c r="G525" s="4">
        <x:v>1.0</x:v>
      </x:c>
      <x:c r="H525" s="4">
        <x:v>2.0</x:v>
      </x:c>
      <x:c r="I525" s="4">
        <x:v>3.0</x:v>
      </x:c>
      <x:c r="J525" s="4">
        <x:v>1.0</x:v>
      </x:c>
      <x:c r="K525" s="4">
        <x:v>2.0</x:v>
      </x:c>
      <x:c r="L525" s="4">
        <x:v>20.0</x:v>
      </x:c>
      <x:c r="M525" s="4">
        <x:v>20.0</x:v>
      </x:c>
    </x:row>
    <x:row r="526" ht="15.75" customHeight="1">
      <x:c r="A526" s="4">
        <x:v>5506.0</x:v>
      </x:c>
      <x:c r="B526" s="4" t="s">
        <x:v>496</x:v>
      </x:c>
      <x:c r="C526" s="4" t="s">
        <x:v>496</x:v>
      </x:c>
      <x:c r="D526" s="4" t="s">
        <x:v>584</x:v>
      </x:c>
      <x:c r="E526" s="4" t="s">
        <x:v>37</x:v>
      </x:c>
      <x:c r="F526" s="4">
        <x:v>2.0</x:v>
      </x:c>
      <x:c r="G526" s="4">
        <x:v>2.0</x:v>
      </x:c>
      <x:c r="H526" s="4">
        <x:v>0.0</x:v>
      </x:c>
      <x:c r="I526" s="4">
        <x:v>2.0</x:v>
      </x:c>
      <x:c r="J526" s="4">
        <x:v>2.0</x:v>
      </x:c>
      <x:c r="K526" s="4">
        <x:v>0.0</x:v>
      </x:c>
      <x:c r="L526" s="4">
        <x:v>5.0</x:v>
      </x:c>
      <x:c r="M526" s="4">
        <x:v>5.0</x:v>
      </x:c>
    </x:row>
    <x:row r="527" ht="15.75" customHeight="1">
      <x:c r="A527" s="4">
        <x:v>6836.0</x:v>
      </x:c>
      <x:c r="B527" s="4" t="s">
        <x:v>496</x:v>
      </x:c>
      <x:c r="C527" s="4" t="s">
        <x:v>497</x:v>
      </x:c>
      <x:c r="D527" s="4" t="s">
        <x:v>585</x:v>
      </x:c>
      <x:c r="E527" s="4" t="s">
        <x:v>55</x:v>
      </x:c>
      <x:c r="F527" s="4">
        <x:v>2.0</x:v>
      </x:c>
      <x:c r="G527" s="4">
        <x:v>2.0</x:v>
      </x:c>
      <x:c r="H527" s="4">
        <x:v>0.0</x:v>
      </x:c>
      <x:c r="I527" s="4">
        <x:v>2.0</x:v>
      </x:c>
      <x:c r="J527" s="4">
        <x:v>2.0</x:v>
      </x:c>
      <x:c r="K527" s="4">
        <x:v>0.0</x:v>
      </x:c>
      <x:c r="L527" s="4">
        <x:v>13.0</x:v>
      </x:c>
      <x:c r="M527" s="4">
        <x:v>10.0</x:v>
      </x:c>
    </x:row>
    <x:row r="528" ht="15.75" customHeight="1">
      <x:c r="A528" s="4">
        <x:v>247.0</x:v>
      </x:c>
      <x:c r="B528" s="4" t="s">
        <x:v>496</x:v>
      </x:c>
      <x:c r="C528" s="4" t="s">
        <x:v>497</x:v>
      </x:c>
      <x:c r="D528" s="4" t="s">
        <x:v>586</x:v>
      </x:c>
      <x:c r="E528" s="4" t="s">
        <x:v>39</x:v>
      </x:c>
      <x:c r="F528" s="4">
        <x:v>1.0</x:v>
      </x:c>
      <x:c r="G528" s="4">
        <x:v>1.0</x:v>
      </x:c>
      <x:c r="H528" s="4">
        <x:v>0.0</x:v>
      </x:c>
      <x:c r="I528" s="4">
        <x:v>1.0</x:v>
      </x:c>
      <x:c r="J528" s="4">
        <x:v>1.0</x:v>
      </x:c>
      <x:c r="K528" s="4">
        <x:v>0.0</x:v>
      </x:c>
      <x:c r="L528" s="4">
        <x:v>3.0</x:v>
      </x:c>
      <x:c r="M528" s="4">
        <x:v>3.0</x:v>
      </x:c>
    </x:row>
    <x:row r="529" ht="15.75" customHeight="1">
      <x:c r="A529" s="4">
        <x:v>6822.0</x:v>
      </x:c>
      <x:c r="B529" s="4" t="s">
        <x:v>496</x:v>
      </x:c>
      <x:c r="C529" s="4" t="s">
        <x:v>496</x:v>
      </x:c>
      <x:c r="D529" s="4" t="s">
        <x:v>587</x:v>
      </x:c>
      <x:c r="E529" s="4" t="s">
        <x:v>37</x:v>
      </x:c>
      <x:c r="F529" s="4">
        <x:v>1.0</x:v>
      </x:c>
      <x:c r="G529" s="4">
        <x:v>1.0</x:v>
      </x:c>
      <x:c r="H529" s="4">
        <x:v>0.0</x:v>
      </x:c>
      <x:c r="I529" s="4">
        <x:v>1.0</x:v>
      </x:c>
      <x:c r="J529" s="4">
        <x:v>1.0</x:v>
      </x:c>
      <x:c r="K529" s="4">
        <x:v>0.0</x:v>
      </x:c>
      <x:c r="L529" s="4">
        <x:v>3.0</x:v>
      </x:c>
      <x:c r="M529" s="4">
        <x:v>3.0</x:v>
      </x:c>
    </x:row>
    <x:row r="530" ht="15.75" customHeight="1">
      <x:c r="A530" s="4">
        <x:v>2012.0</x:v>
      </x:c>
      <x:c r="B530" s="4" t="s">
        <x:v>496</x:v>
      </x:c>
      <x:c r="C530" s="4" t="s">
        <x:v>497</x:v>
      </x:c>
      <x:c r="D530" s="4" t="s">
        <x:v>588</x:v>
      </x:c>
      <x:c r="E530" s="4" t="s">
        <x:v>17</x:v>
      </x:c>
      <x:c r="F530" s="4">
        <x:v>1.0</x:v>
      </x:c>
      <x:c r="G530" s="4">
        <x:v>1.0</x:v>
      </x:c>
      <x:c r="H530" s="4">
        <x:v>0.0</x:v>
      </x:c>
      <x:c r="I530" s="4">
        <x:v>1.0</x:v>
      </x:c>
      <x:c r="J530" s="4">
        <x:v>1.0</x:v>
      </x:c>
      <x:c r="K530" s="4">
        <x:v>0.0</x:v>
      </x:c>
      <x:c r="L530" s="4">
        <x:v>5.0</x:v>
      </x:c>
      <x:c r="M530" s="4">
        <x:v>3.0</x:v>
      </x:c>
    </x:row>
    <x:row r="531" ht="15.75" customHeight="1">
      <x:c r="A531" s="4">
        <x:v>6667.0</x:v>
      </x:c>
      <x:c r="B531" s="4" t="s">
        <x:v>496</x:v>
      </x:c>
      <x:c r="C531" s="4" t="s">
        <x:v>496</x:v>
      </x:c>
      <x:c r="D531" s="4" t="s">
        <x:v>589</x:v>
      </x:c>
      <x:c r="E531" s="4" t="s">
        <x:v>45</x:v>
      </x:c>
      <x:c r="F531" s="4">
        <x:v>1.0</x:v>
      </x:c>
      <x:c r="G531" s="4">
        <x:v>1.0</x:v>
      </x:c>
      <x:c r="H531" s="4">
        <x:v>0.0</x:v>
      </x:c>
      <x:c r="I531" s="4">
        <x:v>1.0</x:v>
      </x:c>
      <x:c r="J531" s="4">
        <x:v>1.0</x:v>
      </x:c>
      <x:c r="K531" s="4">
        <x:v>0.0</x:v>
      </x:c>
      <x:c r="L531" s="4">
        <x:v>13.0</x:v>
      </x:c>
      <x:c r="M531" s="4">
        <x:v>13.0</x:v>
      </x:c>
    </x:row>
    <x:row r="532" ht="15.75" customHeight="1">
      <x:c r="A532" s="4">
        <x:v>7171.0</x:v>
      </x:c>
      <x:c r="B532" s="4" t="s">
        <x:v>496</x:v>
      </x:c>
      <x:c r="C532" s="4" t="s">
        <x:v>496</x:v>
      </x:c>
      <x:c r="D532" s="4" t="s">
        <x:v>590</x:v>
      </x:c>
      <x:c r="E532" s="4" t="s">
        <x:v>55</x:v>
      </x:c>
      <x:c r="F532" s="4">
        <x:v>1.0</x:v>
      </x:c>
      <x:c r="G532" s="4">
        <x:v>1.0</x:v>
      </x:c>
      <x:c r="H532" s="4">
        <x:v>0.0</x:v>
      </x:c>
      <x:c r="I532" s="4">
        <x:v>1.0</x:v>
      </x:c>
      <x:c r="J532" s="4">
        <x:v>1.0</x:v>
      </x:c>
      <x:c r="K532" s="4">
        <x:v>0.0</x:v>
      </x:c>
      <x:c r="L532" s="4">
        <x:v>1.0</x:v>
      </x:c>
      <x:c r="M532" s="4">
        <x:v>1.0</x:v>
      </x:c>
    </x:row>
    <x:row r="533" ht="15.75" customHeight="1">
      <x:c r="A533" s="4">
        <x:v>7158.0</x:v>
      </x:c>
      <x:c r="B533" s="4" t="s">
        <x:v>496</x:v>
      </x:c>
      <x:c r="C533" s="4" t="s">
        <x:v>497</x:v>
      </x:c>
      <x:c r="D533" s="4" t="s">
        <x:v>591</x:v>
      </x:c>
      <x:c r="E533" s="4" t="s">
        <x:v>49</x:v>
      </x:c>
      <x:c r="F533" s="4">
        <x:v>1.0</x:v>
      </x:c>
      <x:c r="G533" s="4">
        <x:v>1.0</x:v>
      </x:c>
      <x:c r="H533" s="4">
        <x:v>0.0</x:v>
      </x:c>
      <x:c r="I533" s="4">
        <x:v>1.0</x:v>
      </x:c>
      <x:c r="J533" s="4">
        <x:v>1.0</x:v>
      </x:c>
      <x:c r="K533" s="4">
        <x:v>0.0</x:v>
      </x:c>
      <x:c r="L533" s="4">
        <x:v>1.0</x:v>
      </x:c>
      <x:c r="M533" s="4">
        <x:v>1.0</x:v>
      </x:c>
    </x:row>
    <x:row r="534" ht="15.75" customHeight="1">
      <x:c r="A534" s="4">
        <x:v>7159.0</x:v>
      </x:c>
      <x:c r="B534" s="4" t="s">
        <x:v>496</x:v>
      </x:c>
      <x:c r="C534" s="4" t="s">
        <x:v>497</x:v>
      </x:c>
      <x:c r="D534" s="4" t="s">
        <x:v>592</x:v>
      </x:c>
      <x:c r="E534" s="4" t="s">
        <x:v>49</x:v>
      </x:c>
      <x:c r="F534" s="4">
        <x:v>1.0</x:v>
      </x:c>
      <x:c r="G534" s="4">
        <x:v>1.0</x:v>
      </x:c>
      <x:c r="H534" s="4">
        <x:v>0.0</x:v>
      </x:c>
      <x:c r="I534" s="4">
        <x:v>1.0</x:v>
      </x:c>
      <x:c r="J534" s="4">
        <x:v>1.0</x:v>
      </x:c>
      <x:c r="K534" s="4">
        <x:v>0.0</x:v>
      </x:c>
      <x:c r="L534" s="4">
        <x:v>1.0</x:v>
      </x:c>
      <x:c r="M534" s="4">
        <x:v>1.0</x:v>
      </x:c>
    </x:row>
    <x:row r="535" ht="15.75" customHeight="1">
      <x:c r="A535" s="4">
        <x:v>6827.0</x:v>
      </x:c>
      <x:c r="B535" s="4" t="s">
        <x:v>496</x:v>
      </x:c>
      <x:c r="C535" s="4" t="s">
        <x:v>496</x:v>
      </x:c>
      <x:c r="D535" s="4" t="s">
        <x:v>593</x:v>
      </x:c>
      <x:c r="E535" s="4" t="s">
        <x:v>41</x:v>
      </x:c>
      <x:c r="F535" s="4">
        <x:v>1.0</x:v>
      </x:c>
      <x:c r="G535" s="4">
        <x:v>1.0</x:v>
      </x:c>
      <x:c r="H535" s="4">
        <x:v>0.0</x:v>
      </x:c>
      <x:c r="I535" s="4">
        <x:v>1.0</x:v>
      </x:c>
      <x:c r="J535" s="4">
        <x:v>1.0</x:v>
      </x:c>
      <x:c r="K535" s="4">
        <x:v>0.0</x:v>
      </x:c>
      <x:c r="L535" s="4">
        <x:v>1.0</x:v>
      </x:c>
      <x:c r="M535" s="4">
        <x:v>1.0</x:v>
      </x:c>
    </x:row>
    <x:row r="536" ht="15.75" customHeight="1">
      <x:c r="A536" s="4">
        <x:v>7262.0</x:v>
      </x:c>
      <x:c r="B536" s="4" t="s">
        <x:v>496</x:v>
      </x:c>
      <x:c r="C536" s="4" t="s">
        <x:v>496</x:v>
      </x:c>
      <x:c r="D536" s="4" t="s">
        <x:v>594</x:v>
      </x:c>
      <x:c r="E536" s="4" t="s">
        <x:v>21</x:v>
      </x:c>
      <x:c r="F536" s="4">
        <x:v>1.0</x:v>
      </x:c>
      <x:c r="G536" s="4">
        <x:v>1.0</x:v>
      </x:c>
      <x:c r="H536" s="4">
        <x:v>0.0</x:v>
      </x:c>
      <x:c r="I536" s="4">
        <x:v>1.0</x:v>
      </x:c>
      <x:c r="J536" s="4">
        <x:v>1.0</x:v>
      </x:c>
      <x:c r="K536" s="4">
        <x:v>0.0</x:v>
      </x:c>
      <x:c r="L536" s="4">
        <x:v>1.0</x:v>
      </x:c>
      <x:c r="M536" s="4">
        <x:v>1.0</x:v>
      </x:c>
    </x:row>
    <x:row r="537" ht="15.75" customHeight="1">
      <x:c r="A537" s="4">
        <x:v>7264.0</x:v>
      </x:c>
      <x:c r="B537" s="4" t="s">
        <x:v>496</x:v>
      </x:c>
      <x:c r="C537" s="4" t="s">
        <x:v>497</x:v>
      </x:c>
      <x:c r="D537" s="4" t="s">
        <x:v>595</x:v>
      </x:c>
      <x:c r="E537" s="4" t="s">
        <x:v>23</x:v>
      </x:c>
      <x:c r="F537" s="4">
        <x:v>1.0</x:v>
      </x:c>
      <x:c r="G537" s="4">
        <x:v>1.0</x:v>
      </x:c>
      <x:c r="H537" s="4">
        <x:v>0.0</x:v>
      </x:c>
      <x:c r="I537" s="4">
        <x:v>1.0</x:v>
      </x:c>
      <x:c r="J537" s="4">
        <x:v>1.0</x:v>
      </x:c>
      <x:c r="K537" s="4">
        <x:v>0.0</x:v>
      </x:c>
      <x:c r="L537" s="4">
        <x:v>1.0</x:v>
      </x:c>
      <x:c r="M537" s="4">
        <x:v>1.0</x:v>
      </x:c>
    </x:row>
    <x:row r="538" ht="15.75" customHeight="1">
      <x:c r="A538" s="4">
        <x:v>7272.0</x:v>
      </x:c>
      <x:c r="B538" s="4" t="s">
        <x:v>496</x:v>
      </x:c>
      <x:c r="C538" s="4" t="s">
        <x:v>497</x:v>
      </x:c>
      <x:c r="D538" s="4" t="s">
        <x:v>596</x:v>
      </x:c>
      <x:c r="E538" s="4" t="s">
        <x:v>51</x:v>
      </x:c>
      <x:c r="F538" s="4">
        <x:v>1.0</x:v>
      </x:c>
      <x:c r="G538" s="4">
        <x:v>1.0</x:v>
      </x:c>
      <x:c r="H538" s="4">
        <x:v>0.0</x:v>
      </x:c>
      <x:c r="I538" s="4">
        <x:v>1.0</x:v>
      </x:c>
      <x:c r="J538" s="4">
        <x:v>1.0</x:v>
      </x:c>
      <x:c r="K538" s="4">
        <x:v>0.0</x:v>
      </x:c>
      <x:c r="L538" s="4">
        <x:v>1.0</x:v>
      </x:c>
      <x:c r="M538" s="4">
        <x:v>1.0</x:v>
      </x:c>
    </x:row>
    <x:row r="539" ht="15.75" customHeight="1">
      <x:c r="A539" s="4">
        <x:v>7277.0</x:v>
      </x:c>
      <x:c r="B539" s="4" t="s">
        <x:v>496</x:v>
      </x:c>
      <x:c r="C539" s="4" t="s">
        <x:v>497</x:v>
      </x:c>
      <x:c r="D539" s="4" t="s">
        <x:v>597</x:v>
      </x:c>
      <x:c r="E539" s="4" t="s">
        <x:v>25</x:v>
      </x:c>
      <x:c r="F539" s="4">
        <x:v>1.0</x:v>
      </x:c>
      <x:c r="G539" s="4">
        <x:v>1.0</x:v>
      </x:c>
      <x:c r="H539" s="4">
        <x:v>0.0</x:v>
      </x:c>
      <x:c r="I539" s="4">
        <x:v>1.0</x:v>
      </x:c>
      <x:c r="J539" s="4">
        <x:v>1.0</x:v>
      </x:c>
      <x:c r="K539" s="4">
        <x:v>0.0</x:v>
      </x:c>
      <x:c r="L539" s="4">
        <x:v>1.0</x:v>
      </x:c>
      <x:c r="M539" s="4">
        <x:v>1.0</x:v>
      </x:c>
    </x:row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8" width="6" customWidth="1"/>
    <x:col min="9" max="9" width="10.289999961853027" customWidth="1"/>
    <x:col min="10" max="10" width="9.289999961853027" customWidth="1"/>
    <x:col min="11" max="11" width="6.429999828338623" customWidth="1"/>
    <x:col min="12" max="12" width="9.569999694824219" customWidth="1"/>
    <x:col min="13" max="13" width="10.140000343322754" customWidth="1"/>
    <x:col min="14" max="14" width="8.569999694824219" customWidth="1"/>
    <x:col min="15" max="15" width="9.430000305175781" customWidth="1"/>
    <x:col min="16" max="20" width="8.710000038146973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3"/>
    </x:row>
    <x:row r="2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5" t="s">
        <x:v>598</x:v>
      </x:c>
      <x:c r="I2" s="5" t="s">
        <x:v>599</x:v>
      </x:c>
      <x:c r="J2" s="5" t="s">
        <x:v>600</x:v>
      </x:c>
      <x:c r="K2" s="6" t="s">
        <x:v>601</x:v>
      </x:c>
      <x:c r="L2" s="5" t="s">
        <x:v>602</x:v>
      </x:c>
      <x:c r="M2" s="5" t="s">
        <x:v>603</x:v>
      </x:c>
      <x:c r="N2" s="5" t="s">
        <x:v>604</x:v>
      </x:c>
      <x:c r="O2" s="5" t="s">
        <x:v>605</x:v>
      </x:c>
    </x:row>
    <x:row r="3">
      <x:c r="A3" s="4">
        <x:v>4431.0</x:v>
      </x:c>
      <x:c r="B3" s="4" t="s">
        <x:v>14</x:v>
      </x:c>
      <x:c r="C3" s="4" t="s">
        <x:v>15</x:v>
      </x:c>
      <x:c r="D3" s="4" t="s">
        <x:v>26</x:v>
      </x:c>
      <x:c r="E3" s="4" t="s">
        <x:v>27</x:v>
      </x:c>
      <x:c r="F3" s="4">
        <x:v>14.0</x:v>
      </x:c>
      <x:c r="G3" s="4">
        <x:v>14.0</x:v>
      </x:c>
      <x:c r="H3" s="7">
        <x:v>41.0</x:v>
      </x:c>
    </x:row>
    <x:row r="4">
      <x:c r="A4" s="4">
        <x:v>2297.0</x:v>
      </x:c>
      <x:c r="B4" s="4" t="s">
        <x:v>14</x:v>
      </x:c>
      <x:c r="C4" s="4" t="s">
        <x:v>15</x:v>
      </x:c>
      <x:c r="D4" s="4" t="s">
        <x:v>63</x:v>
      </x:c>
      <x:c r="E4" s="4" t="s">
        <x:v>27</x:v>
      </x:c>
      <x:c r="F4" s="4">
        <x:v>1.0</x:v>
      </x:c>
      <x:c r="G4" s="4">
        <x:v>1.0</x:v>
      </x:c>
    </x:row>
    <x:row r="5">
      <x:c r="A5" s="4">
        <x:v>4.0</x:v>
      </x:c>
      <x:c r="B5" s="4" t="s">
        <x:v>14</x:v>
      </x:c>
      <x:c r="C5" s="4" t="s">
        <x:v>15</x:v>
      </x:c>
      <x:c r="D5" s="4" t="s">
        <x:v>64</x:v>
      </x:c>
      <x:c r="E5" s="4" t="s">
        <x:v>27</x:v>
      </x:c>
      <x:c r="F5" s="4">
        <x:v>1.0</x:v>
      </x:c>
      <x:c r="G5" s="4">
        <x:v>1.0</x:v>
      </x:c>
    </x:row>
    <x:row r="6">
      <x:c r="A6" s="4">
        <x:v>7172.0</x:v>
      </x:c>
      <x:c r="B6" s="4" t="s">
        <x:v>14</x:v>
      </x:c>
      <x:c r="C6" s="4" t="s">
        <x:v>15</x:v>
      </x:c>
      <x:c r="D6" s="4" t="s">
        <x:v>65</x:v>
      </x:c>
      <x:c r="E6" s="4" t="s">
        <x:v>33</x:v>
      </x:c>
      <x:c r="F6" s="4">
        <x:v>1.0</x:v>
      </x:c>
      <x:c r="G6" s="4">
        <x:v>1.0</x:v>
      </x:c>
    </x:row>
    <x:row r="7">
      <x:c r="A7" s="4">
        <x:v>2722.0</x:v>
      </x:c>
      <x:c r="B7" s="4" t="s">
        <x:v>14</x:v>
      </x:c>
      <x:c r="C7" s="4" t="s">
        <x:v>15</x:v>
      </x:c>
      <x:c r="D7" s="4" t="s">
        <x:v>58</x:v>
      </x:c>
      <x:c r="E7" s="4" t="s">
        <x:v>33</x:v>
      </x:c>
      <x:c r="F7" s="4">
        <x:v>3.0</x:v>
      </x:c>
      <x:c r="G7" s="4">
        <x:v>3.0</x:v>
      </x:c>
    </x:row>
    <x:row r="8">
      <x:c r="A8" s="4">
        <x:v>133.0</x:v>
      </x:c>
      <x:c r="B8" s="4" t="s">
        <x:v>14</x:v>
      </x:c>
      <x:c r="C8" s="4" t="s">
        <x:v>15</x:v>
      </x:c>
      <x:c r="D8" s="4" t="s">
        <x:v>32</x:v>
      </x:c>
      <x:c r="E8" s="4" t="s">
        <x:v>33</x:v>
      </x:c>
      <x:c r="F8" s="4">
        <x:v>11.0</x:v>
      </x:c>
      <x:c r="G8" s="4">
        <x:v>10.0</x:v>
      </x:c>
      <x:c r="K8" s="7">
        <x:v>20.0</x:v>
      </x:c>
    </x:row>
    <x:row r="9">
      <x:c r="A9" s="4">
        <x:v>4360.0</x:v>
      </x:c>
      <x:c r="B9" s="4" t="s">
        <x:v>14</x:v>
      </x:c>
      <x:c r="C9" s="4" t="s">
        <x:v>15</x:v>
      </x:c>
      <x:c r="D9" s="4" t="s">
        <x:v>38</x:v>
      </x:c>
      <x:c r="E9" s="4" t="s">
        <x:v>39</x:v>
      </x:c>
      <x:c r="F9" s="4">
        <x:v>8.0</x:v>
      </x:c>
      <x:c r="G9" s="4">
        <x:v>7.0</x:v>
      </x:c>
      <x:c r="L9" s="7">
        <x:v>6.0</x:v>
      </x:c>
    </x:row>
    <x:row r="10">
      <x:c r="A10" s="4">
        <x:v>4929.0</x:v>
      </x:c>
      <x:c r="B10" s="4" t="s">
        <x:v>14</x:v>
      </x:c>
      <x:c r="C10" s="4" t="s">
        <x:v>15</x:v>
      </x:c>
      <x:c r="D10" s="4" t="s">
        <x:v>66</x:v>
      </x:c>
      <x:c r="E10" s="4" t="s">
        <x:v>39</x:v>
      </x:c>
      <x:c r="F10" s="4">
        <x:v>1.0</x:v>
      </x:c>
      <x:c r="G10" s="4">
        <x:v>1.0</x:v>
      </x:c>
    </x:row>
    <x:row r="11">
      <x:c r="A11" s="4">
        <x:v>3.0</x:v>
      </x:c>
      <x:c r="B11" s="4" t="s">
        <x:v>14</x:v>
      </x:c>
      <x:c r="C11" s="4" t="s">
        <x:v>15</x:v>
      </x:c>
      <x:c r="D11" s="4" t="s">
        <x:v>67</x:v>
      </x:c>
      <x:c r="E11" s="4" t="s">
        <x:v>39</x:v>
      </x:c>
      <x:c r="F11" s="4">
        <x:v>1.0</x:v>
      </x:c>
      <x:c r="G11" s="4">
        <x:v>1.0</x:v>
      </x:c>
    </x:row>
    <x:row r="12">
      <x:c r="A12" s="4">
        <x:v>6966.0</x:v>
      </x:c>
      <x:c r="B12" s="4" t="s">
        <x:v>14</x:v>
      </x:c>
      <x:c r="C12" s="4" t="s">
        <x:v>15</x:v>
      </x:c>
      <x:c r="D12" s="4" t="s">
        <x:v>34</x:v>
      </x:c>
      <x:c r="E12" s="4" t="s">
        <x:v>35</x:v>
      </x:c>
      <x:c r="F12" s="4">
        <x:v>11.0</x:v>
      </x:c>
      <x:c r="G12" s="4">
        <x:v>10.0</x:v>
      </x:c>
      <x:c r="O12" s="7">
        <x:v>10.0</x:v>
      </x:c>
    </x:row>
    <x:row r="13">
      <x:c r="A13" s="4">
        <x:v>7261.0</x:v>
      </x:c>
      <x:c r="B13" s="4" t="s">
        <x:v>14</x:v>
      </x:c>
      <x:c r="C13" s="4" t="s">
        <x:v>15</x:v>
      </x:c>
      <x:c r="D13" s="4" t="s">
        <x:v>97</x:v>
      </x:c>
      <x:c r="E13" s="4" t="s">
        <x:v>35</x:v>
      </x:c>
      <x:c r="F13" s="4">
        <x:v>1.0</x:v>
      </x:c>
      <x:c r="G13" s="4">
        <x:v>1.0</x:v>
      </x:c>
    </x:row>
    <x:row r="14">
      <x:c r="A14" s="4">
        <x:v>2809.0</x:v>
      </x:c>
      <x:c r="B14" s="4" t="s">
        <x:v>14</x:v>
      </x:c>
      <x:c r="C14" s="4" t="s">
        <x:v>15</x:v>
      </x:c>
      <x:c r="D14" s="4" t="s">
        <x:v>68</x:v>
      </x:c>
      <x:c r="E14" s="4" t="s">
        <x:v>35</x:v>
      </x:c>
      <x:c r="F14" s="4">
        <x:v>1.0</x:v>
      </x:c>
      <x:c r="G14" s="4">
        <x:v>1.0</x:v>
      </x:c>
    </x:row>
    <x:row r="15">
      <x:c r="A15" s="4">
        <x:v>761.0</x:v>
      </x:c>
      <x:c r="B15" s="4" t="s">
        <x:v>14</x:v>
      </x:c>
      <x:c r="C15" s="4" t="s">
        <x:v>15</x:v>
      </x:c>
      <x:c r="D15" s="4" t="s">
        <x:v>46</x:v>
      </x:c>
      <x:c r="E15" s="4" t="s">
        <x:v>47</x:v>
      </x:c>
      <x:c r="F15" s="4">
        <x:v>6.0</x:v>
      </x:c>
      <x:c r="G15" s="4">
        <x:v>5.0</x:v>
      </x:c>
      <x:c r="K15" s="7">
        <x:v>5.0</x:v>
      </x:c>
    </x:row>
    <x:row r="16">
      <x:c r="A16" s="4">
        <x:v>6505.0</x:v>
      </x:c>
      <x:c r="B16" s="4" t="s">
        <x:v>14</x:v>
      </x:c>
      <x:c r="C16" s="4" t="s">
        <x:v>15</x:v>
      </x:c>
      <x:c r="D16" s="4" t="s">
        <x:v>69</x:v>
      </x:c>
      <x:c r="E16" s="4" t="s">
        <x:v>47</x:v>
      </x:c>
      <x:c r="F16" s="4">
        <x:v>1.0</x:v>
      </x:c>
      <x:c r="G16" s="4">
        <x:v>1.0</x:v>
      </x:c>
    </x:row>
    <x:row r="17">
      <x:c r="A17" s="4">
        <x:v>2211.0</x:v>
      </x:c>
      <x:c r="B17" s="4" t="s">
        <x:v>14</x:v>
      </x:c>
      <x:c r="C17" s="4" t="s">
        <x:v>15</x:v>
      </x:c>
      <x:c r="D17" s="4" t="s">
        <x:v>95</x:v>
      </x:c>
      <x:c r="E17" s="4" t="s">
        <x:v>47</x:v>
      </x:c>
      <x:c r="F17" s="4">
        <x:v>1.0</x:v>
      </x:c>
      <x:c r="G17" s="4">
        <x:v>1.0</x:v>
      </x:c>
    </x:row>
    <x:row r="18">
      <x:c r="A18" s="4">
        <x:v>2521.0</x:v>
      </x:c>
      <x:c r="B18" s="4" t="s">
        <x:v>14</x:v>
      </x:c>
      <x:c r="C18" s="4" t="s">
        <x:v>15</x:v>
      </x:c>
      <x:c r="D18" s="4" t="s">
        <x:v>28</x:v>
      </x:c>
      <x:c r="E18" s="4" t="s">
        <x:v>29</x:v>
      </x:c>
      <x:c r="F18" s="4">
        <x:v>14.0</x:v>
      </x:c>
      <x:c r="G18" s="4">
        <x:v>14.0</x:v>
      </x:c>
      <x:c r="L18" s="7">
        <x:v>29.0</x:v>
      </x:c>
    </x:row>
    <x:row r="19">
      <x:c r="A19" s="4">
        <x:v>158.0</x:v>
      </x:c>
      <x:c r="B19" s="4" t="s">
        <x:v>14</x:v>
      </x:c>
      <x:c r="C19" s="4" t="s">
        <x:v>15</x:v>
      </x:c>
      <x:c r="D19" s="4" t="s">
        <x:v>94</x:v>
      </x:c>
      <x:c r="E19" s="4" t="s">
        <x:v>29</x:v>
      </x:c>
      <x:c r="F19" s="4">
        <x:v>1.0</x:v>
      </x:c>
      <x:c r="G19" s="4">
        <x:v>1.0</x:v>
      </x:c>
    </x:row>
    <x:row r="20">
      <x:c r="A20" s="4">
        <x:v>6184.0</x:v>
      </x:c>
      <x:c r="B20" s="4" t="s">
        <x:v>14</x:v>
      </x:c>
      <x:c r="C20" s="4" t="s">
        <x:v>15</x:v>
      </x:c>
      <x:c r="D20" s="4" t="s">
        <x:v>70</x:v>
      </x:c>
      <x:c r="E20" s="4" t="s">
        <x:v>29</x:v>
      </x:c>
      <x:c r="F20" s="4">
        <x:v>1.0</x:v>
      </x:c>
      <x:c r="G20" s="4">
        <x:v>1.0</x:v>
      </x:c>
      <x:c r="N20" s="7">
        <x:v>2.0</x:v>
      </x:c>
    </x:row>
    <x:row r="21" ht="15.75" customHeight="1">
      <x:c r="A21" s="4">
        <x:v>188.0</x:v>
      </x:c>
      <x:c r="B21" s="4" t="s">
        <x:v>14</x:v>
      </x:c>
      <x:c r="C21" s="4" t="s">
        <x:v>15</x:v>
      </x:c>
      <x:c r="D21" s="4" t="s">
        <x:v>36</x:v>
      </x:c>
      <x:c r="E21" s="4" t="s">
        <x:v>37</x:v>
      </x:c>
      <x:c r="F21" s="4">
        <x:v>9.0</x:v>
      </x:c>
      <x:c r="G21" s="4">
        <x:v>8.0</x:v>
      </x:c>
      <x:c r="J21" s="7">
        <x:v>6.0</x:v>
      </x:c>
    </x:row>
    <x:row r="22" ht="15.75" customHeight="1">
      <x:c r="A22" s="4">
        <x:v>6991.0</x:v>
      </x:c>
      <x:c r="B22" s="4" t="s">
        <x:v>14</x:v>
      </x:c>
      <x:c r="C22" s="4" t="s">
        <x:v>15</x:v>
      </x:c>
      <x:c r="D22" s="4" t="s">
        <x:v>71</x:v>
      </x:c>
      <x:c r="E22" s="4" t="s">
        <x:v>37</x:v>
      </x:c>
      <x:c r="F22" s="4">
        <x:v>1.0</x:v>
      </x:c>
      <x:c r="G22" s="4">
        <x:v>1.0</x:v>
      </x:c>
    </x:row>
    <x:row r="23" ht="15.75" customHeight="1">
      <x:c r="A23" s="4">
        <x:v>219.0</x:v>
      </x:c>
      <x:c r="B23" s="4" t="s">
        <x:v>14</x:v>
      </x:c>
      <x:c r="C23" s="4" t="s">
        <x:v>15</x:v>
      </x:c>
      <x:c r="D23" s="4" t="s">
        <x:v>72</x:v>
      </x:c>
      <x:c r="E23" s="4" t="s">
        <x:v>37</x:v>
      </x:c>
      <x:c r="F23" s="4">
        <x:v>1.0</x:v>
      </x:c>
      <x:c r="G23" s="4">
        <x:v>1.0</x:v>
      </x:c>
    </x:row>
    <x:row r="24" ht="15.75" customHeight="1">
      <x:c r="A24" s="4">
        <x:v>1926.0</x:v>
      </x:c>
      <x:c r="B24" s="4" t="s">
        <x:v>14</x:v>
      </x:c>
      <x:c r="C24" s="4" t="s">
        <x:v>15</x:v>
      </x:c>
      <x:c r="D24" s="4" t="s">
        <x:v>73</x:v>
      </x:c>
      <x:c r="E24" s="4" t="s">
        <x:v>19</x:v>
      </x:c>
      <x:c r="F24" s="4">
        <x:v>1.0</x:v>
      </x:c>
      <x:c r="G24" s="4">
        <x:v>1.0</x:v>
      </x:c>
    </x:row>
    <x:row r="25" ht="15.75" customHeight="1">
      <x:c r="A25" s="4">
        <x:v>5116.0</x:v>
      </x:c>
      <x:c r="B25" s="4" t="s">
        <x:v>14</x:v>
      </x:c>
      <x:c r="C25" s="4" t="s">
        <x:v>15</x:v>
      </x:c>
      <x:c r="D25" s="4" t="s">
        <x:v>62</x:v>
      </x:c>
      <x:c r="E25" s="4" t="s">
        <x:v>19</x:v>
      </x:c>
      <x:c r="F25" s="4">
        <x:v>2.0</x:v>
      </x:c>
      <x:c r="G25" s="4">
        <x:v>2.0</x:v>
      </x:c>
    </x:row>
    <x:row r="26" ht="15.75" customHeight="1">
      <x:c r="A26" s="4">
        <x:v>2428.0</x:v>
      </x:c>
      <x:c r="B26" s="4" t="s">
        <x:v>14</x:v>
      </x:c>
      <x:c r="C26" s="4" t="s">
        <x:v>15</x:v>
      </x:c>
      <x:c r="D26" s="4" t="s">
        <x:v>18</x:v>
      </x:c>
      <x:c r="E26" s="4" t="s">
        <x:v>19</x:v>
      </x:c>
      <x:c r="F26" s="4">
        <x:v>16.0</x:v>
      </x:c>
      <x:c r="G26" s="4">
        <x:v>16.0</x:v>
      </x:c>
      <x:c r="N26" s="7">
        <x:v>41.0</x:v>
      </x:c>
    </x:row>
    <x:row r="27" ht="15.75" customHeight="1">
      <x:c r="A27" s="4">
        <x:v>5876.0</x:v>
      </x:c>
      <x:c r="B27" s="4" t="s">
        <x:v>14</x:v>
      </x:c>
      <x:c r="C27" s="4" t="s">
        <x:v>15</x:v>
      </x:c>
      <x:c r="D27" s="4" t="s">
        <x:v>16</x:v>
      </x:c>
      <x:c r="E27" s="4" t="s">
        <x:v>17</x:v>
      </x:c>
      <x:c r="F27" s="4">
        <x:v>17.0</x:v>
      </x:c>
      <x:c r="G27" s="4">
        <x:v>16.0</x:v>
      </x:c>
      <x:c r="K27" s="7">
        <x:v>41.0</x:v>
      </x:c>
    </x:row>
    <x:row r="28" ht="15.75" customHeight="1">
      <x:c r="A28" s="4">
        <x:v>218.0</x:v>
      </x:c>
      <x:c r="B28" s="4" t="s">
        <x:v>14</x:v>
      </x:c>
      <x:c r="C28" s="4" t="s">
        <x:v>15</x:v>
      </x:c>
      <x:c r="D28" s="4" t="s">
        <x:v>74</x:v>
      </x:c>
      <x:c r="E28" s="4" t="s">
        <x:v>17</x:v>
      </x:c>
      <x:c r="F28" s="4">
        <x:v>1.0</x:v>
      </x:c>
      <x:c r="G28" s="4">
        <x:v>1.0</x:v>
      </x:c>
    </x:row>
    <x:row r="29" ht="15.75" customHeight="1">
      <x:c r="A29" s="4">
        <x:v>1930.0</x:v>
      </x:c>
      <x:c r="B29" s="4" t="s">
        <x:v>14</x:v>
      </x:c>
      <x:c r="C29" s="4" t="s">
        <x:v>15</x:v>
      </x:c>
      <x:c r="D29" s="4" t="s">
        <x:v>75</x:v>
      </x:c>
      <x:c r="E29" s="4" t="s">
        <x:v>17</x:v>
      </x:c>
      <x:c r="F29" s="4">
        <x:v>1.0</x:v>
      </x:c>
      <x:c r="G29" s="4">
        <x:v>1.0</x:v>
      </x:c>
    </x:row>
    <x:row r="30" ht="15.75" customHeight="1">
      <x:c r="A30" s="4">
        <x:v>6417.0</x:v>
      </x:c>
      <x:c r="B30" s="4" t="s">
        <x:v>14</x:v>
      </x:c>
      <x:c r="C30" s="4" t="s">
        <x:v>15</x:v>
      </x:c>
      <x:c r="D30" s="4" t="s">
        <x:v>76</x:v>
      </x:c>
      <x:c r="E30" s="4" t="s">
        <x:v>31</x:v>
      </x:c>
      <x:c r="F30" s="4">
        <x:v>1.0</x:v>
      </x:c>
      <x:c r="G30" s="4">
        <x:v>1.0</x:v>
      </x:c>
    </x:row>
    <x:row r="31" ht="15.75" customHeight="1">
      <x:c r="A31" s="4">
        <x:v>6482.0</x:v>
      </x:c>
      <x:c r="B31" s="4" t="s">
        <x:v>14</x:v>
      </x:c>
      <x:c r="C31" s="4" t="s">
        <x:v>15</x:v>
      </x:c>
      <x:c r="D31" s="4" t="s">
        <x:v>59</x:v>
      </x:c>
      <x:c r="E31" s="4" t="s">
        <x:v>31</x:v>
      </x:c>
      <x:c r="F31" s="4">
        <x:v>3.0</x:v>
      </x:c>
      <x:c r="G31" s="4">
        <x:v>3.0</x:v>
      </x:c>
      <x:c r="L31" s="7">
        <x:v>1.0</x:v>
      </x:c>
    </x:row>
    <x:row r="32" ht="15.75" customHeight="1">
      <x:c r="A32" s="4">
        <x:v>2814.0</x:v>
      </x:c>
      <x:c r="B32" s="4" t="s">
        <x:v>14</x:v>
      </x:c>
      <x:c r="C32" s="4" t="s">
        <x:v>15</x:v>
      </x:c>
      <x:c r="D32" s="4" t="s">
        <x:v>30</x:v>
      </x:c>
      <x:c r="E32" s="4" t="s">
        <x:v>31</x:v>
      </x:c>
      <x:c r="F32" s="4">
        <x:v>12.0</x:v>
      </x:c>
      <x:c r="G32" s="4">
        <x:v>12.0</x:v>
      </x:c>
      <x:c r="H32" s="7">
        <x:v>22.0</x:v>
      </x:c>
    </x:row>
    <x:row r="33" ht="15.75" customHeight="1">
      <x:c r="A33" s="4">
        <x:v>2134.0</x:v>
      </x:c>
      <x:c r="B33" s="4" t="s">
        <x:v>14</x:v>
      </x:c>
      <x:c r="C33" s="4" t="s">
        <x:v>15</x:v>
      </x:c>
      <x:c r="D33" s="4" t="s">
        <x:v>42</x:v>
      </x:c>
      <x:c r="E33" s="4" t="s">
        <x:v>43</x:v>
      </x:c>
      <x:c r="F33" s="4">
        <x:v>7.0</x:v>
      </x:c>
      <x:c r="G33" s="4">
        <x:v>6.0</x:v>
      </x:c>
      <x:c r="N33" s="7">
        <x:v>2.0</x:v>
      </x:c>
    </x:row>
    <x:row r="34" ht="15.75" customHeight="1">
      <x:c r="A34" s="4">
        <x:v>2401.0</x:v>
      </x:c>
      <x:c r="B34" s="4" t="s">
        <x:v>14</x:v>
      </x:c>
      <x:c r="C34" s="4" t="s">
        <x:v>15</x:v>
      </x:c>
      <x:c r="D34" s="4" t="s">
        <x:v>77</x:v>
      </x:c>
      <x:c r="E34" s="4" t="s">
        <x:v>43</x:v>
      </x:c>
      <x:c r="F34" s="4">
        <x:v>1.0</x:v>
      </x:c>
      <x:c r="G34" s="4">
        <x:v>1.0</x:v>
      </x:c>
    </x:row>
    <x:row r="35" ht="15.75" customHeight="1">
      <x:c r="A35" s="4">
        <x:v>6523.0</x:v>
      </x:c>
      <x:c r="B35" s="4" t="s">
        <x:v>14</x:v>
      </x:c>
      <x:c r="C35" s="4" t="s">
        <x:v>15</x:v>
      </x:c>
      <x:c r="D35" s="4" t="s">
        <x:v>78</x:v>
      </x:c>
      <x:c r="E35" s="4" t="s">
        <x:v>43</x:v>
      </x:c>
      <x:c r="F35" s="4">
        <x:v>1.0</x:v>
      </x:c>
      <x:c r="G35" s="4">
        <x:v>1.0</x:v>
      </x:c>
    </x:row>
    <x:row r="36" ht="15.75" customHeight="1">
      <x:c r="A36" s="4">
        <x:v>4312.0</x:v>
      </x:c>
      <x:c r="B36" s="4" t="s">
        <x:v>14</x:v>
      </x:c>
      <x:c r="C36" s="4" t="s">
        <x:v>15</x:v>
      </x:c>
      <x:c r="D36" s="4" t="s">
        <x:v>20</x:v>
      </x:c>
      <x:c r="E36" s="4" t="s">
        <x:v>21</x:v>
      </x:c>
      <x:c r="F36" s="4">
        <x:v>16.0</x:v>
      </x:c>
      <x:c r="G36" s="4">
        <x:v>16.0</x:v>
      </x:c>
      <x:c r="M36" s="7">
        <x:v>43.0</x:v>
      </x:c>
    </x:row>
    <x:row r="37" ht="15.75" customHeight="1">
      <x:c r="A37" s="4">
        <x:v>2815.0</x:v>
      </x:c>
      <x:c r="B37" s="4" t="s">
        <x:v>14</x:v>
      </x:c>
      <x:c r="C37" s="4" t="s">
        <x:v>15</x:v>
      </x:c>
      <x:c r="D37" s="4" t="s">
        <x:v>79</x:v>
      </x:c>
      <x:c r="E37" s="4" t="s">
        <x:v>21</x:v>
      </x:c>
      <x:c r="F37" s="4">
        <x:v>1.0</x:v>
      </x:c>
      <x:c r="G37" s="4">
        <x:v>1.0</x:v>
      </x:c>
      <x:c r="M37" s="7">
        <x:v>1.0</x:v>
      </x:c>
    </x:row>
    <x:row r="38" ht="15.75" customHeight="1">
      <x:c r="A38" s="4">
        <x:v>6813.0</x:v>
      </x:c>
      <x:c r="B38" s="4" t="s">
        <x:v>14</x:v>
      </x:c>
      <x:c r="C38" s="4" t="s">
        <x:v>15</x:v>
      </x:c>
      <x:c r="D38" s="4" t="s">
        <x:v>80</x:v>
      </x:c>
      <x:c r="E38" s="4" t="s">
        <x:v>21</x:v>
      </x:c>
      <x:c r="F38" s="4">
        <x:v>1.0</x:v>
      </x:c>
      <x:c r="G38" s="4">
        <x:v>1.0</x:v>
      </x:c>
    </x:row>
    <x:row r="39" ht="15.75" customHeight="1">
      <x:c r="A39" s="4">
        <x:v>2845.0</x:v>
      </x:c>
      <x:c r="B39" s="4" t="s">
        <x:v>14</x:v>
      </x:c>
      <x:c r="C39" s="4" t="s">
        <x:v>15</x:v>
      </x:c>
      <x:c r="D39" s="4" t="s">
        <x:v>81</x:v>
      </x:c>
      <x:c r="E39" s="4" t="s">
        <x:v>23</x:v>
      </x:c>
      <x:c r="F39" s="4">
        <x:v>1.0</x:v>
      </x:c>
      <x:c r="G39" s="4">
        <x:v>1.0</x:v>
      </x:c>
    </x:row>
    <x:row r="40" ht="15.75" customHeight="1">
      <x:c r="A40" s="4">
        <x:v>572.0</x:v>
      </x:c>
      <x:c r="B40" s="4" t="s">
        <x:v>14</x:v>
      </x:c>
      <x:c r="C40" s="4" t="s">
        <x:v>15</x:v>
      </x:c>
      <x:c r="D40" s="4" t="s">
        <x:v>22</x:v>
      </x:c>
      <x:c r="E40" s="4" t="s">
        <x:v>23</x:v>
      </x:c>
      <x:c r="F40" s="4">
        <x:v>16.0</x:v>
      </x:c>
      <x:c r="G40" s="4">
        <x:v>16.0</x:v>
      </x:c>
      <x:c r="I40" s="7">
        <x:v>45.0</x:v>
      </x:c>
    </x:row>
    <x:row r="41" ht="15.75" customHeight="1">
      <x:c r="A41" s="4">
        <x:v>2170.0</x:v>
      </x:c>
      <x:c r="B41" s="4" t="s">
        <x:v>14</x:v>
      </x:c>
      <x:c r="C41" s="4" t="s">
        <x:v>15</x:v>
      </x:c>
      <x:c r="D41" s="4" t="s">
        <x:v>53</x:v>
      </x:c>
      <x:c r="E41" s="4" t="s">
        <x:v>23</x:v>
      </x:c>
      <x:c r="F41" s="4">
        <x:v>4.0</x:v>
      </x:c>
      <x:c r="G41" s="4">
        <x:v>4.0</x:v>
      </x:c>
      <x:c r="I41" s="7">
        <x:v>13.0</x:v>
      </x:c>
    </x:row>
    <x:row r="42" ht="15.75" customHeight="1">
      <x:c r="A42" s="4">
        <x:v>6662.0</x:v>
      </x:c>
      <x:c r="B42" s="4" t="s">
        <x:v>14</x:v>
      </x:c>
      <x:c r="C42" s="4" t="s">
        <x:v>15</x:v>
      </x:c>
      <x:c r="D42" s="4" t="s">
        <x:v>82</x:v>
      </x:c>
      <x:c r="E42" s="4" t="s">
        <x:v>45</x:v>
      </x:c>
      <x:c r="F42" s="4">
        <x:v>1.0</x:v>
      </x:c>
      <x:c r="G42" s="4">
        <x:v>1.0</x:v>
      </x:c>
    </x:row>
    <x:row r="43" ht="15.75" customHeight="1">
      <x:c r="A43" s="4">
        <x:v>5338.0</x:v>
      </x:c>
      <x:c r="B43" s="4" t="s">
        <x:v>14</x:v>
      </x:c>
      <x:c r="C43" s="4" t="s">
        <x:v>15</x:v>
      </x:c>
      <x:c r="D43" s="4" t="s">
        <x:v>83</x:v>
      </x:c>
      <x:c r="E43" s="4" t="s">
        <x:v>45</x:v>
      </x:c>
      <x:c r="F43" s="4">
        <x:v>1.0</x:v>
      </x:c>
      <x:c r="G43" s="4">
        <x:v>1.0</x:v>
      </x:c>
    </x:row>
    <x:row r="44" ht="15.75" customHeight="1">
      <x:c r="A44" s="4">
        <x:v>6641.0</x:v>
      </x:c>
      <x:c r="B44" s="4" t="s">
        <x:v>14</x:v>
      </x:c>
      <x:c r="C44" s="4" t="s">
        <x:v>15</x:v>
      </x:c>
      <x:c r="D44" s="4" t="s">
        <x:v>44</x:v>
      </x:c>
      <x:c r="E44" s="4" t="s">
        <x:v>45</x:v>
      </x:c>
      <x:c r="F44" s="4">
        <x:v>7.0</x:v>
      </x:c>
      <x:c r="G44" s="4">
        <x:v>7.0</x:v>
      </x:c>
      <x:c r="O44" s="7">
        <x:v>6.0</x:v>
      </x:c>
    </x:row>
    <x:row r="45" ht="15.75" customHeight="1">
      <x:c r="A45" s="4">
        <x:v>2271.0</x:v>
      </x:c>
      <x:c r="B45" s="4" t="s">
        <x:v>14</x:v>
      </x:c>
      <x:c r="C45" s="4" t="s">
        <x:v>15</x:v>
      </x:c>
      <x:c r="D45" s="4" t="s">
        <x:v>84</x:v>
      </x:c>
      <x:c r="E45" s="4" t="s">
        <x:v>55</x:v>
      </x:c>
      <x:c r="F45" s="4">
        <x:v>1.0</x:v>
      </x:c>
      <x:c r="G45" s="4">
        <x:v>1.0</x:v>
      </x:c>
    </x:row>
    <x:row r="46" ht="15.75" customHeight="1">
      <x:c r="A46" s="4">
        <x:v>574.0</x:v>
      </x:c>
      <x:c r="B46" s="4" t="s">
        <x:v>14</x:v>
      </x:c>
      <x:c r="C46" s="4" t="s">
        <x:v>15</x:v>
      </x:c>
      <x:c r="D46" s="4" t="s">
        <x:v>60</x:v>
      </x:c>
      <x:c r="E46" s="4" t="s">
        <x:v>55</x:v>
      </x:c>
      <x:c r="F46" s="4">
        <x:v>3.0</x:v>
      </x:c>
      <x:c r="G46" s="4">
        <x:v>3.0</x:v>
      </x:c>
    </x:row>
    <x:row r="47" ht="15.75" customHeight="1">
      <x:c r="A47" s="4">
        <x:v>2861.0</x:v>
      </x:c>
      <x:c r="B47" s="4" t="s">
        <x:v>14</x:v>
      </x:c>
      <x:c r="C47" s="4" t="s">
        <x:v>15</x:v>
      </x:c>
      <x:c r="D47" s="4" t="s">
        <x:v>54</x:v>
      </x:c>
      <x:c r="E47" s="4" t="s">
        <x:v>55</x:v>
      </x:c>
      <x:c r="F47" s="4">
        <x:v>4.0</x:v>
      </x:c>
      <x:c r="G47" s="4">
        <x:v>3.0</x:v>
      </x:c>
    </x:row>
    <x:row r="48" ht="15.75" customHeight="1">
      <x:c r="A48" s="4">
        <x:v>610.0</x:v>
      </x:c>
      <x:c r="B48" s="4" t="s">
        <x:v>14</x:v>
      </x:c>
      <x:c r="C48" s="4" t="s">
        <x:v>15</x:v>
      </x:c>
      <x:c r="D48" s="4" t="s">
        <x:v>86</x:v>
      </x:c>
      <x:c r="E48" s="4" t="s">
        <x:v>25</x:v>
      </x:c>
      <x:c r="F48" s="4">
        <x:v>1.0</x:v>
      </x:c>
      <x:c r="G48" s="4">
        <x:v>1.0</x:v>
      </x:c>
    </x:row>
    <x:row r="49" ht="15.75" customHeight="1">
      <x:c r="A49" s="4">
        <x:v>5841.0</x:v>
      </x:c>
      <x:c r="B49" s="4" t="s">
        <x:v>14</x:v>
      </x:c>
      <x:c r="C49" s="4" t="s">
        <x:v>15</x:v>
      </x:c>
      <x:c r="D49" s="4" t="s">
        <x:v>24</x:v>
      </x:c>
      <x:c r="E49" s="4" t="s">
        <x:v>25</x:v>
      </x:c>
      <x:c r="F49" s="4">
        <x:v>16.0</x:v>
      </x:c>
      <x:c r="G49" s="4">
        <x:v>15.0</x:v>
      </x:c>
      <x:c r="J49" s="7">
        <x:v>42.0</x:v>
      </x:c>
    </x:row>
    <x:row r="50" ht="15.75" customHeight="1">
      <x:c r="A50" s="4">
        <x:v>6125.0</x:v>
      </x:c>
      <x:c r="B50" s="4" t="s">
        <x:v>14</x:v>
      </x:c>
      <x:c r="C50" s="4" t="s">
        <x:v>15</x:v>
      </x:c>
      <x:c r="D50" s="4" t="s">
        <x:v>92</x:v>
      </x:c>
      <x:c r="E50" s="4" t="s">
        <x:v>25</x:v>
      </x:c>
      <x:c r="F50" s="4">
        <x:v>1.0</x:v>
      </x:c>
      <x:c r="G50" s="4">
        <x:v>1.0</x:v>
      </x:c>
    </x:row>
    <x:row r="51" ht="15.75" customHeight="1">
      <x:c r="A51" s="4">
        <x:v>7169.0</x:v>
      </x:c>
      <x:c r="B51" s="4" t="s">
        <x:v>14</x:v>
      </x:c>
      <x:c r="C51" s="4" t="s">
        <x:v>15</x:v>
      </x:c>
      <x:c r="D51" s="4" t="s">
        <x:v>85</x:v>
      </x:c>
      <x:c r="E51" s="4" t="s">
        <x:v>25</x:v>
      </x:c>
      <x:c r="F51" s="4">
        <x:v>1.0</x:v>
      </x:c>
      <x:c r="G51" s="4">
        <x:v>1.0</x:v>
      </x:c>
    </x:row>
    <x:row r="52" ht="15.75" customHeight="1">
      <x:c r="A52" s="4">
        <x:v>4236.0</x:v>
      </x:c>
      <x:c r="B52" s="4" t="s">
        <x:v>14</x:v>
      </x:c>
      <x:c r="C52" s="4" t="s">
        <x:v>15</x:v>
      </x:c>
      <x:c r="D52" s="4" t="s">
        <x:v>61</x:v>
      </x:c>
      <x:c r="E52" s="4" t="s">
        <x:v>49</x:v>
      </x:c>
      <x:c r="F52" s="4">
        <x:v>3.0</x:v>
      </x:c>
      <x:c r="G52" s="4">
        <x:v>3.0</x:v>
      </x:c>
      <x:c r="M52" s="7">
        <x:v>1.0</x:v>
      </x:c>
    </x:row>
    <x:row r="53" ht="15.75" customHeight="1">
      <x:c r="A53" s="4">
        <x:v>2127.0</x:v>
      </x:c>
      <x:c r="B53" s="4" t="s">
        <x:v>14</x:v>
      </x:c>
      <x:c r="C53" s="4" t="s">
        <x:v>15</x:v>
      </x:c>
      <x:c r="D53" s="4" t="s">
        <x:v>87</x:v>
      </x:c>
      <x:c r="E53" s="4" t="s">
        <x:v>49</x:v>
      </x:c>
      <x:c r="F53" s="4">
        <x:v>1.0</x:v>
      </x:c>
      <x:c r="G53" s="4">
        <x:v>1.0</x:v>
      </x:c>
    </x:row>
    <x:row r="54" ht="15.75" customHeight="1">
      <x:c r="A54" s="4">
        <x:v>4867.0</x:v>
      </x:c>
      <x:c r="B54" s="4" t="s">
        <x:v>14</x:v>
      </x:c>
      <x:c r="C54" s="4" t="s">
        <x:v>15</x:v>
      </x:c>
      <x:c r="D54" s="4" t="s">
        <x:v>48</x:v>
      </x:c>
      <x:c r="E54" s="4" t="s">
        <x:v>49</x:v>
      </x:c>
      <x:c r="F54" s="4">
        <x:v>6.0</x:v>
      </x:c>
      <x:c r="G54" s="4">
        <x:v>7.0</x:v>
      </x:c>
      <x:c r="O54" s="7">
        <x:v>2.0</x:v>
      </x:c>
    </x:row>
    <x:row r="55" ht="15.75" customHeight="1">
      <x:c r="A55" s="4">
        <x:v>7179.0</x:v>
      </x:c>
      <x:c r="B55" s="4" t="s">
        <x:v>14</x:v>
      </x:c>
      <x:c r="C55" s="4" t="s">
        <x:v>15</x:v>
      </x:c>
      <x:c r="D55" s="4" t="s">
        <x:v>40</x:v>
      </x:c>
      <x:c r="E55" s="4" t="s">
        <x:v>41</x:v>
      </x:c>
      <x:c r="F55" s="4">
        <x:v>8.0</x:v>
      </x:c>
      <x:c r="G55" s="4">
        <x:v>9.0</x:v>
      </x:c>
      <x:c r="I55" s="7">
        <x:v>1.0</x:v>
      </x:c>
    </x:row>
    <x:row r="56" ht="15.75" customHeight="1">
      <x:c r="A56" s="4">
        <x:v>5320.0</x:v>
      </x:c>
      <x:c r="B56" s="4" t="s">
        <x:v>14</x:v>
      </x:c>
      <x:c r="C56" s="4" t="s">
        <x:v>15</x:v>
      </x:c>
      <x:c r="D56" s="4" t="s">
        <x:v>88</x:v>
      </x:c>
      <x:c r="E56" s="4" t="s">
        <x:v>41</x:v>
      </x:c>
      <x:c r="F56" s="4">
        <x:v>1.0</x:v>
      </x:c>
      <x:c r="G56" s="4">
        <x:v>1.0</x:v>
      </x:c>
    </x:row>
    <x:row r="57" ht="15.75" customHeight="1">
      <x:c r="A57" s="4">
        <x:v>6210.0</x:v>
      </x:c>
      <x:c r="B57" s="4" t="s">
        <x:v>14</x:v>
      </x:c>
      <x:c r="C57" s="4" t="s">
        <x:v>15</x:v>
      </x:c>
      <x:c r="D57" s="4" t="s">
        <x:v>89</x:v>
      </x:c>
      <x:c r="E57" s="4" t="s">
        <x:v>41</x:v>
      </x:c>
      <x:c r="F57" s="4">
        <x:v>1.0</x:v>
      </x:c>
      <x:c r="G57" s="4">
        <x:v>1.0</x:v>
      </x:c>
    </x:row>
    <x:row r="58" ht="15.75" customHeight="1">
      <x:c r="A58" s="4">
        <x:v>7185.0</x:v>
      </x:c>
      <x:c r="B58" s="4" t="s">
        <x:v>14</x:v>
      </x:c>
      <x:c r="C58" s="4" t="s">
        <x:v>15</x:v>
      </x:c>
      <x:c r="D58" s="4" t="s">
        <x:v>93</x:v>
      </x:c>
      <x:c r="E58" s="4" t="s">
        <x:v>51</x:v>
      </x:c>
      <x:c r="F58" s="4">
        <x:v>1.0</x:v>
      </x:c>
      <x:c r="G58" s="4">
        <x:v>1.0</x:v>
      </x:c>
    </x:row>
    <x:row r="59" ht="15.75" customHeight="1">
      <x:c r="A59" s="4">
        <x:v>6462.0</x:v>
      </x:c>
      <x:c r="B59" s="4" t="s">
        <x:v>14</x:v>
      </x:c>
      <x:c r="C59" s="4" t="s">
        <x:v>15</x:v>
      </x:c>
      <x:c r="D59" s="4" t="s">
        <x:v>50</x:v>
      </x:c>
      <x:c r="E59" s="4" t="s">
        <x:v>51</x:v>
      </x:c>
      <x:c r="F59" s="4">
        <x:v>5.0</x:v>
      </x:c>
      <x:c r="G59" s="4">
        <x:v>6.0</x:v>
      </x:c>
      <x:c r="J59" s="7">
        <x:v>6.0</x:v>
      </x:c>
    </x:row>
    <x:row r="60" ht="15.75" customHeight="1">
      <x:c r="A60" s="4">
        <x:v>543.0</x:v>
      </x:c>
      <x:c r="B60" s="4" t="s">
        <x:v>14</x:v>
      </x:c>
      <x:c r="C60" s="4" t="s">
        <x:v>15</x:v>
      </x:c>
      <x:c r="D60" s="4" t="s">
        <x:v>90</x:v>
      </x:c>
      <x:c r="E60" s="4" t="s">
        <x:v>51</x:v>
      </x:c>
      <x:c r="F60" s="4">
        <x:v>1.0</x:v>
      </x:c>
      <x:c r="G60" s="4">
        <x:v>1.0</x:v>
      </x:c>
    </x:row>
    <x:row r="61" ht="15.75" customHeight="1">
      <x:c r="A61" s="4">
        <x:v>6842.0</x:v>
      </x:c>
      <x:c r="B61" s="4" t="s">
        <x:v>14</x:v>
      </x:c>
      <x:c r="C61" s="4" t="s">
        <x:v>15</x:v>
      </x:c>
      <x:c r="D61" s="4" t="s">
        <x:v>52</x:v>
      </x:c>
      <x:c r="E61" s="4" t="s">
        <x:v>51</x:v>
      </x:c>
      <x:c r="F61" s="4">
        <x:v>5.0</x:v>
      </x:c>
      <x:c r="G61" s="4">
        <x:v>4.0</x:v>
      </x:c>
      <x:c r="H61" s="7">
        <x:v>1.0</x:v>
      </x:c>
    </x:row>
    <x:row r="62" ht="15.75" customHeight="1">
      <x:c r="A62" s="4">
        <x:v>4957.0</x:v>
      </x:c>
      <x:c r="B62" s="4" t="s">
        <x:v>14</x:v>
      </x:c>
      <x:c r="C62" s="4" t="s">
        <x:v>15</x:v>
      </x:c>
      <x:c r="D62" s="4" t="s">
        <x:v>56</x:v>
      </x:c>
      <x:c r="E62" s="4" t="s">
        <x:v>57</x:v>
      </x:c>
      <x:c r="F62" s="4">
        <x:v>4.0</x:v>
      </x:c>
      <x:c r="G62" s="4">
        <x:v>5.0</x:v>
      </x:c>
    </x:row>
    <x:row r="63" ht="15.75" customHeight="1">
      <x:c r="A63" s="4">
        <x:v>511.0</x:v>
      </x:c>
      <x:c r="B63" s="4" t="s">
        <x:v>14</x:v>
      </x:c>
      <x:c r="C63" s="4" t="s">
        <x:v>15</x:v>
      </x:c>
      <x:c r="D63" s="4" t="s">
        <x:v>91</x:v>
      </x:c>
      <x:c r="E63" s="4" t="s">
        <x:v>57</x:v>
      </x:c>
      <x:c r="F63" s="4">
        <x:v>1.0</x:v>
      </x:c>
      <x:c r="G63" s="4">
        <x:v>1.0</x:v>
      </x:c>
    </x:row>
    <x:row r="64" ht="15.75" customHeight="1">
      <x:c r="A64" s="4">
        <x:v>7236.0</x:v>
      </x:c>
      <x:c r="B64" s="4" t="s">
        <x:v>14</x:v>
      </x:c>
      <x:c r="C64" s="4" t="s">
        <x:v>15</x:v>
      </x:c>
      <x:c r="D64" s="4" t="s">
        <x:v>96</x:v>
      </x:c>
      <x:c r="E64" s="4" t="s">
        <x:v>57</x:v>
      </x:c>
      <x:c r="F64" s="4">
        <x:v>1.0</x:v>
      </x:c>
      <x:c r="G64" s="4">
        <x:v>1.0</x:v>
      </x:c>
    </x:row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8" width="6" customWidth="1"/>
    <x:col min="9" max="9" width="10.289999961853027" customWidth="1"/>
    <x:col min="10" max="10" width="9.289999961853027" customWidth="1"/>
    <x:col min="11" max="11" width="6" customWidth="1"/>
    <x:col min="12" max="12" width="9.569999694824219" customWidth="1"/>
    <x:col min="13" max="13" width="10.140000343322754" customWidth="1"/>
    <x:col min="14" max="14" width="8.569999694824219" customWidth="1"/>
    <x:col min="15" max="15" width="9.430000305175781" customWidth="1"/>
    <x:col min="16" max="20" width="8.710000038146973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3"/>
      <x:c r="H1" s="4" t="n">
        <x:f t="shared" ref="H1:O1" si="1">COUNTA(H3:H195)</x:f>
        <x:v>8</x:v>
      </x:c>
      <x:c r="I1" s="4">
        <x:f t="shared" si="1"/>
        <x:v>8</x:v>
      </x:c>
      <x:c r="J1" s="4">
        <x:f t="shared" si="1"/>
        <x:v>8</x:v>
      </x:c>
      <x:c r="K1" s="4">
        <x:f t="shared" si="1"/>
        <x:v>8</x:v>
      </x:c>
      <x:c r="L1" s="4">
        <x:f t="shared" si="1"/>
        <x:v>8</x:v>
      </x:c>
      <x:c r="M1" s="4">
        <x:f t="shared" si="1"/>
        <x:v>8</x:v>
      </x:c>
      <x:c r="N1" s="4">
        <x:f t="shared" si="1"/>
        <x:v>8</x:v>
      </x:c>
      <x:c r="O1" s="4">
        <x:f t="shared" si="1"/>
        <x:v>8</x:v>
      </x:c>
    </x:row>
    <x:row r="2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5" t="s">
        <x:v>598</x:v>
      </x:c>
      <x:c r="I2" s="5" t="s">
        <x:v>599</x:v>
      </x:c>
      <x:c r="J2" s="5" t="s">
        <x:v>600</x:v>
      </x:c>
      <x:c r="K2" s="6" t="s">
        <x:v>601</x:v>
      </x:c>
      <x:c r="L2" s="5" t="s">
        <x:v>602</x:v>
      </x:c>
      <x:c r="M2" s="5" t="s">
        <x:v>603</x:v>
      </x:c>
      <x:c r="N2" s="5" t="s">
        <x:v>604</x:v>
      </x:c>
      <x:c r="O2" s="5" t="s">
        <x:v>605</x:v>
      </x:c>
    </x:row>
    <x:row r="3">
      <x:c r="A3" s="4">
        <x:v>513.0</x:v>
      </x:c>
      <x:c r="B3" s="4" t="s">
        <x:v>98</x:v>
      </x:c>
      <x:c r="C3" s="4" t="s">
        <x:v>103</x:v>
      </x:c>
      <x:c r="D3" s="4" t="s">
        <x:v>132</x:v>
      </x:c>
      <x:c r="E3" s="4" t="s">
        <x:v>19</x:v>
      </x:c>
      <x:c r="F3" s="4">
        <x:v>9.0</x:v>
      </x:c>
      <x:c r="G3" s="4">
        <x:v>9.0</x:v>
      </x:c>
      <x:c r="H3" s="7">
        <x:v>11.0</x:v>
      </x:c>
    </x:row>
    <x:row r="4">
      <x:c r="A4" s="4">
        <x:v>6916.0</x:v>
      </x:c>
      <x:c r="B4" s="4" t="s">
        <x:v>98</x:v>
      </x:c>
      <x:c r="C4" s="4" t="s">
        <x:v>127</x:v>
      </x:c>
      <x:c r="D4" s="4" t="s">
        <x:v>176</x:v>
      </x:c>
      <x:c r="E4" s="4" t="s">
        <x:v>27</x:v>
      </x:c>
      <x:c r="F4" s="4">
        <x:v>6.0</x:v>
      </x:c>
      <x:c r="G4" s="4">
        <x:v>6.0</x:v>
      </x:c>
    </x:row>
    <x:row r="5">
      <x:c r="A5" s="4">
        <x:v>4159.0</x:v>
      </x:c>
      <x:c r="B5" s="4" t="s">
        <x:v>98</x:v>
      </x:c>
      <x:c r="C5" s="4" t="s">
        <x:v>103</x:v>
      </x:c>
      <x:c r="D5" s="4" t="s">
        <x:v>141</x:v>
      </x:c>
      <x:c r="E5" s="4" t="s">
        <x:v>19</x:v>
      </x:c>
      <x:c r="F5" s="4">
        <x:v>9.0</x:v>
      </x:c>
      <x:c r="G5" s="4">
        <x:v>9.0</x:v>
      </x:c>
      <x:c r="O5" s="7">
        <x:v>5.0</x:v>
      </x:c>
    </x:row>
    <x:row r="6">
      <x:c r="A6" s="4">
        <x:v>388.0</x:v>
      </x:c>
      <x:c r="B6" s="4" t="s">
        <x:v>98</x:v>
      </x:c>
      <x:c r="C6" s="4" t="s">
        <x:v>103</x:v>
      </x:c>
      <x:c r="D6" s="4" t="s">
        <x:v>207</x:v>
      </x:c>
      <x:c r="E6" s="4" t="s">
        <x:v>55</x:v>
      </x:c>
      <x:c r="F6" s="4">
        <x:v>5.0</x:v>
      </x:c>
      <x:c r="G6" s="4">
        <x:v>5.0</x:v>
      </x:c>
    </x:row>
    <x:row r="7">
      <x:c r="A7" s="4">
        <x:v>4772.0</x:v>
      </x:c>
      <x:c r="B7" s="4" t="s">
        <x:v>98</x:v>
      </x:c>
      <x:c r="C7" s="4" t="s">
        <x:v>99</x:v>
      </x:c>
      <x:c r="D7" s="4" t="s">
        <x:v>106</x:v>
      </x:c>
      <x:c r="E7" s="4" t="s">
        <x:v>25</x:v>
      </x:c>
      <x:c r="F7" s="4">
        <x:v>15.0</x:v>
      </x:c>
      <x:c r="G7" s="4">
        <x:v>15.0</x:v>
      </x:c>
      <x:c r="J7" s="7">
        <x:v>26.0</x:v>
      </x:c>
    </x:row>
    <x:row r="8">
      <x:c r="A8" s="4">
        <x:v>7143.0</x:v>
      </x:c>
      <x:c r="B8" s="4" t="s">
        <x:v>98</x:v>
      </x:c>
      <x:c r="C8" s="4" t="s">
        <x:v>116</x:v>
      </x:c>
      <x:c r="D8" s="4" t="s">
        <x:v>183</x:v>
      </x:c>
      <x:c r="E8" s="4" t="s">
        <x:v>55</x:v>
      </x:c>
      <x:c r="F8" s="4">
        <x:v>6.0</x:v>
      </x:c>
      <x:c r="G8" s="4">
        <x:v>5.0</x:v>
      </x:c>
      <x:c r="I8" s="7">
        <x:v>1.0</x:v>
      </x:c>
    </x:row>
    <x:row r="9">
      <x:c r="A9" s="4">
        <x:v>7211.0</x:v>
      </x:c>
      <x:c r="B9" s="4" t="s">
        <x:v>98</x:v>
      </x:c>
      <x:c r="C9" s="4" t="s">
        <x:v>109</x:v>
      </x:c>
      <x:c r="D9" s="4" t="s">
        <x:v>189</x:v>
      </x:c>
      <x:c r="E9" s="4" t="s">
        <x:v>21</x:v>
      </x:c>
      <x:c r="F9" s="4">
        <x:v>6.0</x:v>
      </x:c>
      <x:c r="G9" s="4">
        <x:v>6.0</x:v>
      </x:c>
    </x:row>
    <x:row r="10">
      <x:c r="A10" s="4">
        <x:v>6013.0</x:v>
      </x:c>
      <x:c r="B10" s="4" t="s">
        <x:v>98</x:v>
      </x:c>
      <x:c r="C10" s="4" t="s">
        <x:v>154</x:v>
      </x:c>
      <x:c r="D10" s="4" t="s">
        <x:v>256</x:v>
      </x:c>
      <x:c r="E10" s="4" t="s">
        <x:v>47</x:v>
      </x:c>
      <x:c r="F10" s="4">
        <x:v>3.0</x:v>
      </x:c>
      <x:c r="G10" s="4">
        <x:v>3.0</x:v>
      </x:c>
    </x:row>
    <x:row r="11">
      <x:c r="A11" s="4">
        <x:v>6496.0</x:v>
      </x:c>
      <x:c r="B11" s="4" t="s">
        <x:v>98</x:v>
      </x:c>
      <x:c r="C11" s="4" t="s">
        <x:v>116</x:v>
      </x:c>
      <x:c r="D11" s="4" t="s">
        <x:v>261</x:v>
      </x:c>
      <x:c r="E11" s="4" t="s">
        <x:v>21</x:v>
      </x:c>
      <x:c r="F11" s="4">
        <x:v>3.0</x:v>
      </x:c>
      <x:c r="G11" s="4">
        <x:v>3.0</x:v>
      </x:c>
    </x:row>
    <x:row r="12">
      <x:c r="A12" s="4">
        <x:v>5835.0</x:v>
      </x:c>
      <x:c r="B12" s="4" t="s">
        <x:v>98</x:v>
      </x:c>
      <x:c r="C12" s="4" t="s">
        <x:v>103</x:v>
      </x:c>
      <x:c r="D12" s="4" t="s">
        <x:v>136</x:v>
      </x:c>
      <x:c r="E12" s="4" t="s">
        <x:v>47</x:v>
      </x:c>
      <x:c r="F12" s="4">
        <x:v>9.0</x:v>
      </x:c>
      <x:c r="G12" s="4">
        <x:v>8.0</x:v>
      </x:c>
      <x:c r="N12" s="7">
        <x:v>10.0</x:v>
      </x:c>
    </x:row>
    <x:row r="13">
      <x:c r="A13" s="4">
        <x:v>2120.0</x:v>
      </x:c>
      <x:c r="B13" s="4" t="s">
        <x:v>98</x:v>
      </x:c>
      <x:c r="C13" s="4" t="s">
        <x:v>103</x:v>
      </x:c>
      <x:c r="D13" s="4" t="s">
        <x:v>104</x:v>
      </x:c>
      <x:c r="E13" s="4" t="s">
        <x:v>19</x:v>
      </x:c>
      <x:c r="F13" s="4">
        <x:v>17.0</x:v>
      </x:c>
      <x:c r="G13" s="4">
        <x:v>16.0</x:v>
      </x:c>
      <x:c r="H13" s="7">
        <x:v>28.0</x:v>
      </x:c>
    </x:row>
    <x:row r="14">
      <x:c r="A14" s="4">
        <x:v>7220.0</x:v>
      </x:c>
      <x:c r="B14" s="4" t="s">
        <x:v>98</x:v>
      </x:c>
      <x:c r="C14" s="4" t="s">
        <x:v>109</x:v>
      </x:c>
      <x:c r="D14" s="4" t="s">
        <x:v>247</x:v>
      </x:c>
      <x:c r="E14" s="4" t="s">
        <x:v>57</x:v>
      </x:c>
      <x:c r="F14" s="4">
        <x:v>4.0</x:v>
      </x:c>
      <x:c r="G14" s="4">
        <x:v>4.0</x:v>
      </x:c>
    </x:row>
    <x:row r="15">
      <x:c r="A15" s="4">
        <x:v>7253.0</x:v>
      </x:c>
      <x:c r="B15" s="4" t="s">
        <x:v>98</x:v>
      </x:c>
      <x:c r="C15" s="4" t="s">
        <x:v>103</x:v>
      </x:c>
      <x:c r="D15" s="4" t="s">
        <x:v>191</x:v>
      </x:c>
      <x:c r="E15" s="4" t="s">
        <x:v>57</x:v>
      </x:c>
      <x:c r="F15" s="4">
        <x:v>6.0</x:v>
      </x:c>
      <x:c r="G15" s="4">
        <x:v>6.0</x:v>
      </x:c>
    </x:row>
    <x:row r="16">
      <x:c r="A16" s="4">
        <x:v>4887.0</x:v>
      </x:c>
      <x:c r="B16" s="4" t="s">
        <x:v>98</x:v>
      </x:c>
      <x:c r="C16" s="4" t="s">
        <x:v>99</x:v>
      </x:c>
      <x:c r="D16" s="4" t="s">
        <x:v>111</x:v>
      </x:c>
      <x:c r="E16" s="4" t="s">
        <x:v>27</x:v>
      </x:c>
      <x:c r="F16" s="4">
        <x:v>13.0</x:v>
      </x:c>
      <x:c r="G16" s="4">
        <x:v>13.0</x:v>
      </x:c>
      <x:c r="L16" s="7">
        <x:v>17.0</x:v>
      </x:c>
    </x:row>
    <x:row r="17">
      <x:c r="A17" s="4">
        <x:v>5820.0</x:v>
      </x:c>
      <x:c r="B17" s="4" t="s">
        <x:v>98</x:v>
      </x:c>
      <x:c r="C17" s="4" t="s">
        <x:v>103</x:v>
      </x:c>
      <x:c r="D17" s="4" t="s">
        <x:v>187</x:v>
      </x:c>
      <x:c r="E17" s="4" t="s">
        <x:v>51</x:v>
      </x:c>
      <x:c r="F17" s="4">
        <x:v>6.0</x:v>
      </x:c>
      <x:c r="G17" s="4">
        <x:v>6.0</x:v>
      </x:c>
    </x:row>
    <x:row r="18">
      <x:c r="A18" s="4">
        <x:v>6202.0</x:v>
      </x:c>
      <x:c r="B18" s="4" t="s">
        <x:v>98</x:v>
      </x:c>
      <x:c r="C18" s="4" t="s">
        <x:v>103</x:v>
      </x:c>
      <x:c r="D18" s="4" t="s">
        <x:v>138</x:v>
      </x:c>
      <x:c r="E18" s="4" t="s">
        <x:v>23</x:v>
      </x:c>
      <x:c r="F18" s="4">
        <x:v>9.0</x:v>
      </x:c>
      <x:c r="G18" s="4">
        <x:v>10.0</x:v>
      </x:c>
      <x:c r="M18" s="7">
        <x:v>3.0</x:v>
      </x:c>
    </x:row>
    <x:row r="19">
      <x:c r="A19" s="4">
        <x:v>612.0</x:v>
      </x:c>
      <x:c r="B19" s="4" t="s">
        <x:v>98</x:v>
      </x:c>
      <x:c r="C19" s="4" t="s">
        <x:v>103</x:v>
      </x:c>
      <x:c r="D19" s="4" t="s">
        <x:v>216</x:v>
      </x:c>
      <x:c r="E19" s="4" t="s">
        <x:v>47</x:v>
      </x:c>
      <x:c r="F19" s="4">
        <x:v>4.0</x:v>
      </x:c>
      <x:c r="G19" s="4">
        <x:v>3.0</x:v>
      </x:c>
    </x:row>
    <x:row r="20">
      <x:c r="A20" s="4">
        <x:v>252.0</x:v>
      </x:c>
      <x:c r="B20" s="4" t="s">
        <x:v>98</x:v>
      </x:c>
      <x:c r="C20" s="4" t="s">
        <x:v>116</x:v>
      </x:c>
      <x:c r="D20" s="4" t="s">
        <x:v>159</x:v>
      </x:c>
      <x:c r="E20" s="4" t="s">
        <x:v>41</x:v>
      </x:c>
      <x:c r="F20" s="4">
        <x:v>8.0</x:v>
      </x:c>
      <x:c r="G20" s="4">
        <x:v>8.0</x:v>
      </x:c>
      <x:c r="K20" s="7">
        <x:v>1.0</x:v>
      </x:c>
    </x:row>
    <x:row r="21" ht="15.75" customHeight="1">
      <x:c r="A21" s="4">
        <x:v>6217.0</x:v>
      </x:c>
      <x:c r="B21" s="4" t="s">
        <x:v>98</x:v>
      </x:c>
      <x:c r="C21" s="4" t="s">
        <x:v>103</x:v>
      </x:c>
      <x:c r="D21" s="4" t="s">
        <x:v>150</x:v>
      </x:c>
      <x:c r="E21" s="4" t="s">
        <x:v>19</x:v>
      </x:c>
      <x:c r="F21" s="4">
        <x:v>8.0</x:v>
      </x:c>
      <x:c r="G21" s="4">
        <x:v>9.0</x:v>
      </x:c>
      <x:c r="I21" s="7">
        <x:v>4.0</x:v>
      </x:c>
    </x:row>
    <x:row r="22" ht="15.75" customHeight="1">
      <x:c r="A22" s="4">
        <x:v>6444.0</x:v>
      </x:c>
      <x:c r="B22" s="4" t="s">
        <x:v>98</x:v>
      </x:c>
      <x:c r="C22" s="4" t="s">
        <x:v>103</x:v>
      </x:c>
      <x:c r="D22" s="4" t="s">
        <x:v>274</x:v>
      </x:c>
      <x:c r="E22" s="4" t="s">
        <x:v>55</x:v>
      </x:c>
      <x:c r="F22" s="4">
        <x:v>2.0</x:v>
      </x:c>
      <x:c r="G22" s="4">
        <x:v>2.0</x:v>
      </x:c>
    </x:row>
    <x:row r="23" ht="15.75" customHeight="1">
      <x:c r="A23" s="4">
        <x:v>5532.0</x:v>
      </x:c>
      <x:c r="B23" s="4" t="s">
        <x:v>98</x:v>
      </x:c>
      <x:c r="C23" s="4" t="s">
        <x:v>116</x:v>
      </x:c>
      <x:c r="D23" s="4" t="s">
        <x:v>244</x:v>
      </x:c>
      <x:c r="E23" s="4" t="s">
        <x:v>57</x:v>
      </x:c>
      <x:c r="F23" s="4">
        <x:v>4.0</x:v>
      </x:c>
      <x:c r="G23" s="4">
        <x:v>4.0</x:v>
      </x:c>
    </x:row>
    <x:row r="24" ht="15.75" customHeight="1">
      <x:c r="A24" s="4">
        <x:v>2788.0</x:v>
      </x:c>
      <x:c r="B24" s="4" t="s">
        <x:v>98</x:v>
      </x:c>
      <x:c r="C24" s="4" t="s">
        <x:v>103</x:v>
      </x:c>
      <x:c r="D24" s="4" t="s">
        <x:v>113</x:v>
      </x:c>
      <x:c r="E24" s="4" t="s">
        <x:v>17</x:v>
      </x:c>
      <x:c r="F24" s="4">
        <x:v>13.0</x:v>
      </x:c>
      <x:c r="G24" s="4">
        <x:v>13.0</x:v>
      </x:c>
      <x:c r="K24" s="7">
        <x:v>31.0</x:v>
      </x:c>
    </x:row>
    <x:row r="25" ht="15.75" customHeight="1">
      <x:c r="A25" s="4">
        <x:v>7255.0</x:v>
      </x:c>
      <x:c r="B25" s="4" t="s">
        <x:v>98</x:v>
      </x:c>
      <x:c r="C25" s="4" t="s">
        <x:v>154</x:v>
      </x:c>
      <x:c r="D25" s="4" t="s">
        <x:v>298</x:v>
      </x:c>
      <x:c r="E25" s="4" t="s">
        <x:v>45</x:v>
      </x:c>
      <x:c r="F25" s="4">
        <x:v>1.0</x:v>
      </x:c>
      <x:c r="G25" s="4">
        <x:v>1.0</x:v>
      </x:c>
    </x:row>
    <x:row r="26" ht="15.75" customHeight="1">
      <x:c r="A26" s="4">
        <x:v>2724.0</x:v>
      </x:c>
      <x:c r="B26" s="4" t="s">
        <x:v>98</x:v>
      </x:c>
      <x:c r="C26" s="4" t="s">
        <x:v>103</x:v>
      </x:c>
      <x:c r="D26" s="4" t="s">
        <x:v>114</x:v>
      </x:c>
      <x:c r="E26" s="4" t="s">
        <x:v>23</x:v>
      </x:c>
      <x:c r="F26" s="4">
        <x:v>13.0</x:v>
      </x:c>
      <x:c r="G26" s="4">
        <x:v>13.0</x:v>
      </x:c>
      <x:c r="K26" s="7">
        <x:v>25.0</x:v>
      </x:c>
    </x:row>
    <x:row r="27" ht="15.75" customHeight="1">
      <x:c r="A27" s="4">
        <x:v>6039.0</x:v>
      </x:c>
      <x:c r="B27" s="4" t="s">
        <x:v>98</x:v>
      </x:c>
      <x:c r="C27" s="4" t="s">
        <x:v>127</x:v>
      </x:c>
      <x:c r="D27" s="4" t="s">
        <x:v>224</x:v>
      </x:c>
      <x:c r="E27" s="4" t="s">
        <x:v>17</x:v>
      </x:c>
      <x:c r="F27" s="4">
        <x:v>4.0</x:v>
      </x:c>
      <x:c r="G27" s="4">
        <x:v>5.0</x:v>
      </x:c>
    </x:row>
    <x:row r="28" ht="15.75" customHeight="1">
      <x:c r="A28" s="4">
        <x:v>2745.0</x:v>
      </x:c>
      <x:c r="B28" s="4" t="s">
        <x:v>98</x:v>
      </x:c>
      <x:c r="C28" s="4" t="s">
        <x:v>139</x:v>
      </x:c>
      <x:c r="D28" s="4" t="s">
        <x:v>235</x:v>
      </x:c>
      <x:c r="E28" s="4" t="s">
        <x:v>55</x:v>
      </x:c>
      <x:c r="F28" s="4">
        <x:v>4.0</x:v>
      </x:c>
      <x:c r="G28" s="4">
        <x:v>3.0</x:v>
      </x:c>
    </x:row>
    <x:row r="29" ht="15.75" customHeight="1">
      <x:c r="A29" s="4">
        <x:v>5520.0</x:v>
      </x:c>
      <x:c r="B29" s="4" t="s">
        <x:v>98</x:v>
      </x:c>
      <x:c r="C29" s="4" t="s">
        <x:v>99</x:v>
      </x:c>
      <x:c r="D29" s="4" t="s">
        <x:v>108</x:v>
      </x:c>
      <x:c r="E29" s="4" t="s">
        <x:v>17</x:v>
      </x:c>
      <x:c r="F29" s="4">
        <x:v>14.0</x:v>
      </x:c>
      <x:c r="G29" s="4">
        <x:v>15.0</x:v>
      </x:c>
      <x:c r="K29" s="7">
        <x:v>25.0</x:v>
      </x:c>
    </x:row>
    <x:row r="30" ht="15.75" customHeight="1">
      <x:c r="A30" s="4">
        <x:v>6985.0</x:v>
      </x:c>
      <x:c r="B30" s="4" t="s">
        <x:v>98</x:v>
      </x:c>
      <x:c r="C30" s="4" t="s">
        <x:v>124</x:v>
      </x:c>
      <x:c r="D30" s="4" t="s">
        <x:v>188</x:v>
      </x:c>
      <x:c r="E30" s="4" t="s">
        <x:v>49</x:v>
      </x:c>
      <x:c r="F30" s="4">
        <x:v>6.0</x:v>
      </x:c>
      <x:c r="G30" s="4">
        <x:v>6.0</x:v>
      </x:c>
    </x:row>
    <x:row r="31" ht="15.75" customHeight="1">
      <x:c r="A31" s="4">
        <x:v>7139.0</x:v>
      </x:c>
      <x:c r="B31" s="4" t="s">
        <x:v>98</x:v>
      </x:c>
      <x:c r="C31" s="4" t="s">
        <x:v>103</x:v>
      </x:c>
      <x:c r="D31" s="4" t="s">
        <x:v>233</x:v>
      </x:c>
      <x:c r="E31" s="4" t="s">
        <x:v>55</x:v>
      </x:c>
      <x:c r="F31" s="4">
        <x:v>4.0</x:v>
      </x:c>
      <x:c r="G31" s="4">
        <x:v>3.0</x:v>
      </x:c>
    </x:row>
    <x:row r="32" ht="15.75" customHeight="1">
      <x:c r="A32" s="4">
        <x:v>2273.0</x:v>
      </x:c>
      <x:c r="B32" s="4" t="s">
        <x:v>98</x:v>
      </x:c>
      <x:c r="C32" s="4" t="s">
        <x:v>103</x:v>
      </x:c>
      <x:c r="D32" s="4" t="s">
        <x:v>198</x:v>
      </x:c>
      <x:c r="E32" s="4" t="s">
        <x:v>55</x:v>
      </x:c>
      <x:c r="F32" s="4">
        <x:v>5.0</x:v>
      </x:c>
      <x:c r="G32" s="4">
        <x:v>4.0</x:v>
      </x:c>
    </x:row>
    <x:row r="33" ht="15.75" customHeight="1">
      <x:c r="A33" s="4">
        <x:v>5877.0</x:v>
      </x:c>
      <x:c r="B33" s="4" t="s">
        <x:v>98</x:v>
      </x:c>
      <x:c r="C33" s="4" t="s">
        <x:v>127</x:v>
      </x:c>
      <x:c r="D33" s="4" t="s">
        <x:v>128</x:v>
      </x:c>
      <x:c r="E33" s="4" t="s">
        <x:v>19</x:v>
      </x:c>
      <x:c r="F33" s="4">
        <x:v>10.0</x:v>
      </x:c>
      <x:c r="G33" s="4">
        <x:v>10.0</x:v>
      </x:c>
      <x:c r="N33" s="7">
        <x:v>8.0</x:v>
      </x:c>
    </x:row>
    <x:row r="34" ht="15.75" customHeight="1">
      <x:c r="A34" s="4">
        <x:v>5498.0</x:v>
      </x:c>
      <x:c r="B34" s="4" t="s">
        <x:v>98</x:v>
      </x:c>
      <x:c r="C34" s="4" t="s">
        <x:v>103</x:v>
      </x:c>
      <x:c r="D34" s="4" t="s">
        <x:v>209</x:v>
      </x:c>
      <x:c r="E34" s="4" t="s">
        <x:v>33</x:v>
      </x:c>
      <x:c r="F34" s="4">
        <x:v>4.0</x:v>
      </x:c>
      <x:c r="G34" s="4">
        <x:v>4.0</x:v>
      </x:c>
    </x:row>
    <x:row r="35" ht="15.75" customHeight="1">
      <x:c r="A35" s="4">
        <x:v>1891.0</x:v>
      </x:c>
      <x:c r="B35" s="4" t="s">
        <x:v>98</x:v>
      </x:c>
      <x:c r="C35" s="4" t="s">
        <x:v>133</x:v>
      </x:c>
      <x:c r="D35" s="4" t="s">
        <x:v>218</x:v>
      </x:c>
      <x:c r="E35" s="4" t="s">
        <x:v>47</x:v>
      </x:c>
      <x:c r="F35" s="4">
        <x:v>4.0</x:v>
      </x:c>
      <x:c r="G35" s="4">
        <x:v>4.0</x:v>
      </x:c>
    </x:row>
    <x:row r="36" ht="15.75" customHeight="1">
      <x:c r="A36" s="4">
        <x:v>4657.0</x:v>
      </x:c>
      <x:c r="B36" s="4" t="s">
        <x:v>98</x:v>
      </x:c>
      <x:c r="C36" s="4" t="s">
        <x:v>139</x:v>
      </x:c>
      <x:c r="D36" s="4" t="s">
        <x:v>184</x:v>
      </x:c>
      <x:c r="E36" s="4" t="s">
        <x:v>25</x:v>
      </x:c>
      <x:c r="F36" s="4">
        <x:v>6.0</x:v>
      </x:c>
      <x:c r="G36" s="4">
        <x:v>7.0</x:v>
      </x:c>
    </x:row>
    <x:row r="37" ht="15.75" customHeight="1">
      <x:c r="A37" s="4">
        <x:v>7222.0</x:v>
      </x:c>
      <x:c r="B37" s="4" t="s">
        <x:v>98</x:v>
      </x:c>
      <x:c r="C37" s="4" t="s">
        <x:v>154</x:v>
      </x:c>
      <x:c r="D37" s="4" t="s">
        <x:v>285</x:v>
      </x:c>
      <x:c r="E37" s="4" t="s">
        <x:v>57</x:v>
      </x:c>
      <x:c r="F37" s="4">
        <x:v>2.0</x:v>
      </x:c>
      <x:c r="G37" s="4">
        <x:v>1.0</x:v>
      </x:c>
    </x:row>
    <x:row r="38" ht="15.75" customHeight="1">
      <x:c r="A38" s="4">
        <x:v>6663.0</x:v>
      </x:c>
      <x:c r="B38" s="4" t="s">
        <x:v>98</x:v>
      </x:c>
      <x:c r="C38" s="4" t="s">
        <x:v>103</x:v>
      </x:c>
      <x:c r="D38" s="4" t="s">
        <x:v>197</x:v>
      </x:c>
      <x:c r="E38" s="4" t="s">
        <x:v>45</x:v>
      </x:c>
      <x:c r="F38" s="4">
        <x:v>5.0</x:v>
      </x:c>
      <x:c r="G38" s="4">
        <x:v>5.0</x:v>
      </x:c>
    </x:row>
    <x:row r="39" ht="15.75" customHeight="1">
      <x:c r="A39" s="4">
        <x:v>6642.0</x:v>
      </x:c>
      <x:c r="B39" s="4" t="s">
        <x:v>98</x:v>
      </x:c>
      <x:c r="C39" s="4" t="s">
        <x:v>103</x:v>
      </x:c>
      <x:c r="D39" s="4" t="s">
        <x:v>158</x:v>
      </x:c>
      <x:c r="E39" s="4" t="s">
        <x:v>41</x:v>
      </x:c>
      <x:c r="F39" s="4">
        <x:v>8.0</x:v>
      </x:c>
      <x:c r="G39" s="4">
        <x:v>8.0</x:v>
      </x:c>
    </x:row>
    <x:row r="40" ht="15.75" customHeight="1">
      <x:c r="A40" s="4">
        <x:v>6495.0</x:v>
      </x:c>
      <x:c r="B40" s="4" t="s">
        <x:v>98</x:v>
      </x:c>
      <x:c r="C40" s="4" t="s">
        <x:v>103</x:v>
      </x:c>
      <x:c r="D40" s="4" t="s">
        <x:v>148</x:v>
      </x:c>
      <x:c r="E40" s="4" t="s">
        <x:v>29</x:v>
      </x:c>
      <x:c r="F40" s="4">
        <x:v>8.0</x:v>
      </x:c>
      <x:c r="G40" s="4">
        <x:v>7.0</x:v>
      </x:c>
      <x:c r="H40" s="7">
        <x:v>3.0</x:v>
      </x:c>
    </x:row>
    <x:row r="41" ht="15.75" customHeight="1">
      <x:c r="A41" s="4">
        <x:v>7140.0</x:v>
      </x:c>
      <x:c r="B41" s="4" t="s">
        <x:v>98</x:v>
      </x:c>
      <x:c r="C41" s="4" t="s">
        <x:v>103</x:v>
      </x:c>
      <x:c r="D41" s="4" t="s">
        <x:v>291</x:v>
      </x:c>
      <x:c r="E41" s="4" t="s">
        <x:v>55</x:v>
      </x:c>
      <x:c r="F41" s="4">
        <x:v>1.0</x:v>
      </x:c>
      <x:c r="G41" s="4">
        <x:v>1.0</x:v>
      </x:c>
    </x:row>
    <x:row r="42" ht="15.75" customHeight="1">
      <x:c r="A42" s="4">
        <x:v>6665.0</x:v>
      </x:c>
      <x:c r="B42" s="4" t="s">
        <x:v>98</x:v>
      </x:c>
      <x:c r="C42" s="4" t="s">
        <x:v>154</x:v>
      </x:c>
      <x:c r="D42" s="4" t="s">
        <x:v>273</x:v>
      </x:c>
      <x:c r="E42" s="4" t="s">
        <x:v>49</x:v>
      </x:c>
      <x:c r="F42" s="4">
        <x:v>3.0</x:v>
      </x:c>
      <x:c r="G42" s="4">
        <x:v>3.0</x:v>
      </x:c>
    </x:row>
    <x:row r="43" ht="15.75" customHeight="1">
      <x:c r="A43" s="4">
        <x:v>697.0</x:v>
      </x:c>
      <x:c r="B43" s="4" t="s">
        <x:v>98</x:v>
      </x:c>
      <x:c r="C43" s="4" t="s">
        <x:v>99</x:v>
      </x:c>
      <x:c r="D43" s="4" t="s">
        <x:v>172</x:v>
      </x:c>
      <x:c r="E43" s="4" t="s">
        <x:v>55</x:v>
      </x:c>
      <x:c r="F43" s="4">
        <x:v>7.0</x:v>
      </x:c>
      <x:c r="G43" s="4">
        <x:v>7.0</x:v>
      </x:c>
    </x:row>
    <x:row r="44" ht="15.75" customHeight="1">
      <x:c r="A44" s="4">
        <x:v>2525.0</x:v>
      </x:c>
      <x:c r="B44" s="4" t="s">
        <x:v>98</x:v>
      </x:c>
      <x:c r="C44" s="4" t="s">
        <x:v>139</x:v>
      </x:c>
      <x:c r="D44" s="4" t="s">
        <x:v>223</x:v>
      </x:c>
      <x:c r="E44" s="4" t="s">
        <x:v>19</x:v>
      </x:c>
      <x:c r="F44" s="4">
        <x:v>4.0</x:v>
      </x:c>
      <x:c r="G44" s="4">
        <x:v>4.0</x:v>
      </x:c>
    </x:row>
    <x:row r="45" ht="15.75" customHeight="1">
      <x:c r="A45" s="4">
        <x:v>487.0</x:v>
      </x:c>
      <x:c r="B45" s="4" t="s">
        <x:v>98</x:v>
      </x:c>
      <x:c r="C45" s="4" t="s">
        <x:v>109</x:v>
      </x:c>
      <x:c r="D45" s="4" t="s">
        <x:v>211</x:v>
      </x:c>
      <x:c r="E45" s="4" t="s">
        <x:v>33</x:v>
      </x:c>
      <x:c r="F45" s="4">
        <x:v>4.0</x:v>
      </x:c>
      <x:c r="G45" s="4">
        <x:v>4.0</x:v>
      </x:c>
    </x:row>
    <x:row r="46" ht="15.75" customHeight="1">
      <x:c r="A46" s="4">
        <x:v>322.0</x:v>
      </x:c>
      <x:c r="B46" s="4" t="s">
        <x:v>98</x:v>
      </x:c>
      <x:c r="C46" s="4" t="s">
        <x:v>103</x:v>
      </x:c>
      <x:c r="D46" s="4" t="s">
        <x:v>151</x:v>
      </x:c>
      <x:c r="E46" s="4" t="s">
        <x:v>19</x:v>
      </x:c>
      <x:c r="F46" s="4">
        <x:v>8.0</x:v>
      </x:c>
      <x:c r="G46" s="4">
        <x:v>9.0</x:v>
      </x:c>
    </x:row>
    <x:row r="47" ht="15.75" customHeight="1">
      <x:c r="A47" s="4">
        <x:v>5739.0</x:v>
      </x:c>
      <x:c r="B47" s="4" t="s">
        <x:v>98</x:v>
      </x:c>
      <x:c r="C47" s="4" t="s">
        <x:v>133</x:v>
      </x:c>
      <x:c r="D47" s="4" t="s">
        <x:v>163</x:v>
      </x:c>
      <x:c r="E47" s="4" t="s">
        <x:v>21</x:v>
      </x:c>
      <x:c r="F47" s="4">
        <x:v>7.0</x:v>
      </x:c>
      <x:c r="G47" s="4">
        <x:v>8.0</x:v>
      </x:c>
      <x:c r="L47" s="7">
        <x:v>1.0</x:v>
      </x:c>
    </x:row>
    <x:row r="48" ht="15.75" customHeight="1">
      <x:c r="A48" s="4">
        <x:v>6664.0</x:v>
      </x:c>
      <x:c r="B48" s="4" t="s">
        <x:v>98</x:v>
      </x:c>
      <x:c r="C48" s="4" t="s">
        <x:v>139</x:v>
      </x:c>
      <x:c r="D48" s="4" t="s">
        <x:v>140</x:v>
      </x:c>
      <x:c r="E48" s="4" t="s">
        <x:v>45</x:v>
      </x:c>
      <x:c r="F48" s="4">
        <x:v>9.0</x:v>
      </x:c>
      <x:c r="G48" s="4">
        <x:v>8.0</x:v>
      </x:c>
      <x:c r="M48" s="7">
        <x:v>2.0</x:v>
      </x:c>
    </x:row>
    <x:row r="49" ht="15.75" customHeight="1">
      <x:c r="A49" s="4">
        <x:v>6826.0</x:v>
      </x:c>
      <x:c r="B49" s="4" t="s">
        <x:v>98</x:v>
      </x:c>
      <x:c r="C49" s="4" t="s">
        <x:v>109</x:v>
      </x:c>
      <x:c r="D49" s="4" t="s">
        <x:v>295</x:v>
      </x:c>
      <x:c r="E49" s="4" t="s">
        <x:v>41</x:v>
      </x:c>
      <x:c r="F49" s="4">
        <x:v>1.0</x:v>
      </x:c>
      <x:c r="G49" s="4">
        <x:v>1.0</x:v>
      </x:c>
    </x:row>
    <x:row r="50" ht="15.75" customHeight="1">
      <x:c r="A50" s="4">
        <x:v>7196.0</x:v>
      </x:c>
      <x:c r="B50" s="4" t="s">
        <x:v>98</x:v>
      </x:c>
      <x:c r="C50" s="4" t="s">
        <x:v>103</x:v>
      </x:c>
      <x:c r="D50" s="4" t="s">
        <x:v>284</x:v>
      </x:c>
      <x:c r="E50" s="4" t="s">
        <x:v>55</x:v>
      </x:c>
      <x:c r="F50" s="4">
        <x:v>2.0</x:v>
      </x:c>
      <x:c r="G50" s="4">
        <x:v>2.0</x:v>
      </x:c>
    </x:row>
    <x:row r="51" ht="15.75" customHeight="1">
      <x:c r="A51" s="4">
        <x:v>2816.0</x:v>
      </x:c>
      <x:c r="B51" s="4" t="s">
        <x:v>98</x:v>
      </x:c>
      <x:c r="C51" s="4" t="s">
        <x:v>109</x:v>
      </x:c>
      <x:c r="D51" s="4" t="s">
        <x:v>110</x:v>
      </x:c>
      <x:c r="E51" s="4" t="s">
        <x:v>23</x:v>
      </x:c>
      <x:c r="F51" s="4">
        <x:v>14.0</x:v>
      </x:c>
      <x:c r="G51" s="4">
        <x:v>14.0</x:v>
      </x:c>
      <x:c r="H51" s="7">
        <x:v>29.0</x:v>
      </x:c>
    </x:row>
    <x:row r="52" ht="15.75" customHeight="1">
      <x:c r="A52" s="4">
        <x:v>5406.0</x:v>
      </x:c>
      <x:c r="B52" s="4" t="s">
        <x:v>98</x:v>
      </x:c>
      <x:c r="C52" s="4" t="s">
        <x:v>109</x:v>
      </x:c>
      <x:c r="D52" s="4" t="s">
        <x:v>275</x:v>
      </x:c>
      <x:c r="E52" s="4" t="s">
        <x:v>39</x:v>
      </x:c>
      <x:c r="F52" s="4">
        <x:v>2.0</x:v>
      </x:c>
      <x:c r="G52" s="4">
        <x:v>2.0</x:v>
      </x:c>
    </x:row>
    <x:row r="53" ht="15.75" customHeight="1">
      <x:c r="A53" s="4">
        <x:v>4137.0</x:v>
      </x:c>
      <x:c r="B53" s="4" t="s">
        <x:v>98</x:v>
      </x:c>
      <x:c r="C53" s="4" t="s">
        <x:v>103</x:v>
      </x:c>
      <x:c r="D53" s="4" t="s">
        <x:v>206</x:v>
      </x:c>
      <x:c r="E53" s="4" t="s">
        <x:v>35</x:v>
      </x:c>
      <x:c r="F53" s="4">
        <x:v>5.0</x:v>
      </x:c>
      <x:c r="G53" s="4">
        <x:v>5.0</x:v>
      </x:c>
    </x:row>
    <x:row r="54" ht="15.75" customHeight="1">
      <x:c r="A54" s="4">
        <x:v>254.0</x:v>
      </x:c>
      <x:c r="B54" s="4" t="s">
        <x:v>98</x:v>
      </x:c>
      <x:c r="C54" s="4" t="s">
        <x:v>99</x:v>
      </x:c>
      <x:c r="D54" s="4" t="s">
        <x:v>101</x:v>
      </x:c>
      <x:c r="E54" s="4" t="s">
        <x:v>19</x:v>
      </x:c>
      <x:c r="F54" s="4">
        <x:v>19.0</x:v>
      </x:c>
      <x:c r="G54" s="4">
        <x:v>19.0</x:v>
      </x:c>
      <x:c r="L54" s="7">
        <x:v>40.0</x:v>
      </x:c>
    </x:row>
    <x:row r="55" ht="15.75" customHeight="1">
      <x:c r="A55" s="4">
        <x:v>787.0</x:v>
      </x:c>
      <x:c r="B55" s="4" t="s">
        <x:v>98</x:v>
      </x:c>
      <x:c r="C55" s="4" t="s">
        <x:v>103</x:v>
      </x:c>
      <x:c r="D55" s="4" t="s">
        <x:v>142</x:v>
      </x:c>
      <x:c r="E55" s="4" t="s">
        <x:v>27</x:v>
      </x:c>
      <x:c r="F55" s="4">
        <x:v>8.0</x:v>
      </x:c>
      <x:c r="G55" s="4">
        <x:v>8.0</x:v>
      </x:c>
      <x:c r="H55" s="7">
        <x:v>1.0</x:v>
      </x:c>
    </x:row>
    <x:row r="56" ht="15.75" customHeight="1">
      <x:c r="A56" s="4">
        <x:v>5885.0</x:v>
      </x:c>
      <x:c r="B56" s="4" t="s">
        <x:v>98</x:v>
      </x:c>
      <x:c r="C56" s="4" t="s">
        <x:v>99</x:v>
      </x:c>
      <x:c r="D56" s="4" t="s">
        <x:v>115</x:v>
      </x:c>
      <x:c r="E56" s="4" t="s">
        <x:v>29</x:v>
      </x:c>
      <x:c r="F56" s="4">
        <x:v>12.0</x:v>
      </x:c>
      <x:c r="G56" s="4">
        <x:v>11.0</x:v>
      </x:c>
      <x:c r="J56" s="7">
        <x:v>28.0</x:v>
      </x:c>
    </x:row>
    <x:row r="57" ht="15.75" customHeight="1">
      <x:c r="A57" s="4">
        <x:v>5851.0</x:v>
      </x:c>
      <x:c r="B57" s="4" t="s">
        <x:v>98</x:v>
      </x:c>
      <x:c r="C57" s="4" t="s">
        <x:v>116</x:v>
      </x:c>
      <x:c r="D57" s="4" t="s">
        <x:v>185</x:v>
      </x:c>
      <x:c r="E57" s="4" t="s">
        <x:v>49</x:v>
      </x:c>
      <x:c r="F57" s="4">
        <x:v>6.0</x:v>
      </x:c>
      <x:c r="G57" s="4">
        <x:v>6.0</x:v>
      </x:c>
      <x:c r="I57" s="7">
        <x:v>1.0</x:v>
      </x:c>
    </x:row>
    <x:row r="58" ht="15.75" customHeight="1">
      <x:c r="A58" s="4">
        <x:v>6230.0</x:v>
      </x:c>
      <x:c r="B58" s="4" t="s">
        <x:v>98</x:v>
      </x:c>
      <x:c r="C58" s="4" t="s">
        <x:v>103</x:v>
      </x:c>
      <x:c r="D58" s="4" t="s">
        <x:v>213</x:v>
      </x:c>
      <x:c r="E58" s="4" t="s">
        <x:v>35</x:v>
      </x:c>
      <x:c r="F58" s="4">
        <x:v>4.0</x:v>
      </x:c>
      <x:c r="G58" s="4">
        <x:v>4.0</x:v>
      </x:c>
    </x:row>
    <x:row r="59" ht="15.75" customHeight="1">
      <x:c r="A59" s="4">
        <x:v>5513.0</x:v>
      </x:c>
      <x:c r="B59" s="4" t="s">
        <x:v>98</x:v>
      </x:c>
      <x:c r="C59" s="4" t="s">
        <x:v>99</x:v>
      </x:c>
      <x:c r="D59" s="4" t="s">
        <x:v>100</x:v>
      </x:c>
      <x:c r="E59" s="4" t="s">
        <x:v>19</x:v>
      </x:c>
      <x:c r="F59" s="4">
        <x:v>21.0</x:v>
      </x:c>
      <x:c r="G59" s="4">
        <x:v>20.0</x:v>
      </x:c>
      <x:c r="O59" s="7">
        <x:v>47.0</x:v>
      </x:c>
    </x:row>
    <x:row r="60" ht="15.75" customHeight="1">
      <x:c r="A60" s="4">
        <x:v>5994.0</x:v>
      </x:c>
      <x:c r="B60" s="4" t="s">
        <x:v>98</x:v>
      </x:c>
      <x:c r="C60" s="4" t="s">
        <x:v>124</x:v>
      </x:c>
      <x:c r="D60" s="4" t="s">
        <x:v>243</x:v>
      </x:c>
      <x:c r="E60" s="4" t="s">
        <x:v>57</x:v>
      </x:c>
      <x:c r="F60" s="4">
        <x:v>4.0</x:v>
      </x:c>
      <x:c r="G60" s="4">
        <x:v>4.0</x:v>
      </x:c>
    </x:row>
    <x:row r="61" ht="15.75" customHeight="1">
      <x:c r="A61" s="4">
        <x:v>6047.0</x:v>
      </x:c>
      <x:c r="B61" s="4" t="s">
        <x:v>98</x:v>
      </x:c>
      <x:c r="C61" s="4" t="s">
        <x:v>109</x:v>
      </x:c>
      <x:c r="D61" s="4" t="s">
        <x:v>201</x:v>
      </x:c>
      <x:c r="E61" s="4" t="s">
        <x:v>51</x:v>
      </x:c>
      <x:c r="F61" s="4">
        <x:v>5.0</x:v>
      </x:c>
      <x:c r="G61" s="4">
        <x:v>5.0</x:v>
      </x:c>
      <x:c r="L61" s="7">
        <x:v>1.0</x:v>
      </x:c>
    </x:row>
    <x:row r="62" ht="15.75" customHeight="1">
      <x:c r="A62" s="4">
        <x:v>7142.0</x:v>
      </x:c>
      <x:c r="B62" s="4" t="s">
        <x:v>98</x:v>
      </x:c>
      <x:c r="C62" s="4" t="s">
        <x:v>109</x:v>
      </x:c>
      <x:c r="D62" s="4" t="s">
        <x:v>293</x:v>
      </x:c>
      <x:c r="E62" s="4" t="s">
        <x:v>55</x:v>
      </x:c>
      <x:c r="F62" s="4">
        <x:v>1.0</x:v>
      </x:c>
      <x:c r="G62" s="4">
        <x:v>1.0</x:v>
      </x:c>
    </x:row>
    <x:row r="63" ht="15.75" customHeight="1">
      <x:c r="A63" s="4">
        <x:v>5273.0</x:v>
      </x:c>
      <x:c r="B63" s="4" t="s">
        <x:v>98</x:v>
      </x:c>
      <x:c r="C63" s="4" t="s">
        <x:v>116</x:v>
      </x:c>
      <x:c r="D63" s="4" t="s">
        <x:v>118</x:v>
      </x:c>
      <x:c r="E63" s="4" t="s">
        <x:v>21</x:v>
      </x:c>
      <x:c r="F63" s="4">
        <x:v>12.0</x:v>
      </x:c>
      <x:c r="G63" s="4">
        <x:v>11.0</x:v>
      </x:c>
      <x:c r="J63" s="7">
        <x:v>11.0</x:v>
      </x:c>
    </x:row>
    <x:row r="64" ht="15.75" customHeight="1">
      <x:c r="A64" s="4">
        <x:v>6870.0</x:v>
      </x:c>
      <x:c r="B64" s="4" t="s">
        <x:v>98</x:v>
      </x:c>
      <x:c r="C64" s="4" t="s">
        <x:v>103</x:v>
      </x:c>
      <x:c r="D64" s="4" t="s">
        <x:v>252</x:v>
      </x:c>
      <x:c r="E64" s="4" t="s">
        <x:v>47</x:v>
      </x:c>
      <x:c r="F64" s="4">
        <x:v>4.0</x:v>
      </x:c>
      <x:c r="G64" s="4">
        <x:v>4.0</x:v>
      </x:c>
    </x:row>
    <x:row r="65" ht="15.75" customHeight="1">
      <x:c r="A65" s="4">
        <x:v>7131.0</x:v>
      </x:c>
      <x:c r="B65" s="4" t="s">
        <x:v>98</x:v>
      </x:c>
      <x:c r="C65" s="4" t="s">
        <x:v>109</x:v>
      </x:c>
      <x:c r="D65" s="4" t="s">
        <x:v>193</x:v>
      </x:c>
      <x:c r="E65" s="4" t="s">
        <x:v>47</x:v>
      </x:c>
      <x:c r="F65" s="4">
        <x:v>5.0</x:v>
      </x:c>
      <x:c r="G65" s="4">
        <x:v>5.0</x:v>
      </x:c>
    </x:row>
    <x:row r="66" ht="15.75" customHeight="1">
      <x:c r="A66" s="4">
        <x:v>7130.0</x:v>
      </x:c>
      <x:c r="B66" s="4" t="s">
        <x:v>98</x:v>
      </x:c>
      <x:c r="C66" s="4" t="s">
        <x:v>103</x:v>
      </x:c>
      <x:c r="D66" s="4" t="s">
        <x:v>217</x:v>
      </x:c>
      <x:c r="E66" s="4" t="s">
        <x:v>47</x:v>
      </x:c>
      <x:c r="F66" s="4">
        <x:v>4.0</x:v>
      </x:c>
      <x:c r="G66" s="4">
        <x:v>4.0</x:v>
      </x:c>
    </x:row>
    <x:row r="67" ht="15.75" customHeight="1">
      <x:c r="A67" s="4">
        <x:v>7069.0</x:v>
      </x:c>
      <x:c r="B67" s="4" t="s">
        <x:v>98</x:v>
      </x:c>
      <x:c r="C67" s="4" t="s">
        <x:v>99</x:v>
      </x:c>
      <x:c r="D67" s="4" t="s">
        <x:v>257</x:v>
      </x:c>
      <x:c r="E67" s="4" t="s">
        <x:v>29</x:v>
      </x:c>
      <x:c r="F67" s="4">
        <x:v>3.0</x:v>
      </x:c>
      <x:c r="G67" s="4">
        <x:v>3.0</x:v>
      </x:c>
    </x:row>
    <x:row r="68" ht="15.75" customHeight="1">
      <x:c r="A68" s="4">
        <x:v>6639.0</x:v>
      </x:c>
      <x:c r="B68" s="4" t="s">
        <x:v>98</x:v>
      </x:c>
      <x:c r="C68" s="4" t="s">
        <x:v>116</x:v>
      </x:c>
      <x:c r="D68" s="4" t="s">
        <x:v>270</x:v>
      </x:c>
      <x:c r="E68" s="4" t="s">
        <x:v>57</x:v>
      </x:c>
      <x:c r="F68" s="4">
        <x:v>3.0</x:v>
      </x:c>
      <x:c r="G68" s="4">
        <x:v>3.0</x:v>
      </x:c>
    </x:row>
    <x:row r="69" ht="15.75" customHeight="1">
      <x:c r="A69" s="4">
        <x:v>4401.0</x:v>
      </x:c>
      <x:c r="B69" s="4" t="s">
        <x:v>98</x:v>
      </x:c>
      <x:c r="C69" s="4" t="s">
        <x:v>103</x:v>
      </x:c>
      <x:c r="D69" s="4" t="s">
        <x:v>166</x:v>
      </x:c>
      <x:c r="E69" s="4" t="s">
        <x:v>21</x:v>
      </x:c>
      <x:c r="F69" s="4">
        <x:v>7.0</x:v>
      </x:c>
      <x:c r="G69" s="4">
        <x:v>6.0</x:v>
      </x:c>
      <x:c r="K69" s="7">
        <x:v>7.0</x:v>
      </x:c>
    </x:row>
    <x:row r="70" ht="15.75" customHeight="1">
      <x:c r="A70" s="4">
        <x:v>4502.0</x:v>
      </x:c>
      <x:c r="B70" s="4" t="s">
        <x:v>98</x:v>
      </x:c>
      <x:c r="C70" s="4" t="s">
        <x:v>116</x:v>
      </x:c>
      <x:c r="D70" s="4" t="s">
        <x:v>182</x:v>
      </x:c>
      <x:c r="E70" s="4" t="s">
        <x:v>43</x:v>
      </x:c>
      <x:c r="F70" s="4">
        <x:v>6.0</x:v>
      </x:c>
      <x:c r="G70" s="4">
        <x:v>5.0</x:v>
      </x:c>
    </x:row>
    <x:row r="71" ht="15.75" customHeight="1">
      <x:c r="A71" s="4">
        <x:v>6632.0</x:v>
      </x:c>
      <x:c r="B71" s="4" t="s">
        <x:v>98</x:v>
      </x:c>
      <x:c r="C71" s="4" t="s">
        <x:v>103</x:v>
      </x:c>
      <x:c r="D71" s="4" t="s">
        <x:v>156</x:v>
      </x:c>
      <x:c r="E71" s="4" t="s">
        <x:v>43</x:v>
      </x:c>
      <x:c r="F71" s="4">
        <x:v>8.0</x:v>
      </x:c>
      <x:c r="G71" s="4">
        <x:v>8.0</x:v>
      </x:c>
    </x:row>
    <x:row r="72" ht="15.75" customHeight="1">
      <x:c r="A72" s="4">
        <x:v>5831.0</x:v>
      </x:c>
      <x:c r="B72" s="4" t="s">
        <x:v>98</x:v>
      </x:c>
      <x:c r="C72" s="4" t="s">
        <x:v>103</x:v>
      </x:c>
      <x:c r="D72" s="4" t="s">
        <x:v>152</x:v>
      </x:c>
      <x:c r="E72" s="4" t="s">
        <x:v>17</x:v>
      </x:c>
      <x:c r="F72" s="4">
        <x:v>8.0</x:v>
      </x:c>
      <x:c r="G72" s="4">
        <x:v>8.0</x:v>
      </x:c>
      <x:c r="I72" s="7">
        <x:v>1.0</x:v>
      </x:c>
    </x:row>
    <x:row r="73" ht="15.75" customHeight="1">
      <x:c r="A73" s="4">
        <x:v>6631.0</x:v>
      </x:c>
      <x:c r="B73" s="4" t="s">
        <x:v>98</x:v>
      </x:c>
      <x:c r="C73" s="4" t="s">
        <x:v>103</x:v>
      </x:c>
      <x:c r="D73" s="4" t="s">
        <x:v>241</x:v>
      </x:c>
      <x:c r="E73" s="4" t="s">
        <x:v>25</x:v>
      </x:c>
      <x:c r="F73" s="4">
        <x:v>4.0</x:v>
      </x:c>
      <x:c r="G73" s="4">
        <x:v>4.0</x:v>
      </x:c>
    </x:row>
    <x:row r="74" ht="15.75" customHeight="1">
      <x:c r="A74" s="4">
        <x:v>5899.0</x:v>
      </x:c>
      <x:c r="B74" s="4" t="s">
        <x:v>98</x:v>
      </x:c>
      <x:c r="C74" s="4" t="s">
        <x:v>103</x:v>
      </x:c>
      <x:c r="D74" s="4" t="s">
        <x:v>225</x:v>
      </x:c>
      <x:c r="E74" s="4" t="s">
        <x:v>31</x:v>
      </x:c>
      <x:c r="F74" s="4">
        <x:v>4.0</x:v>
      </x:c>
      <x:c r="G74" s="4">
        <x:v>4.0</x:v>
      </x:c>
    </x:row>
    <x:row r="75" ht="15.75" customHeight="1">
      <x:c r="A75" s="4">
        <x:v>5833.0</x:v>
      </x:c>
      <x:c r="B75" s="4" t="s">
        <x:v>98</x:v>
      </x:c>
      <x:c r="C75" s="4" t="s">
        <x:v>103</x:v>
      </x:c>
      <x:c r="D75" s="4" t="s">
        <x:v>135</x:v>
      </x:c>
      <x:c r="E75" s="4" t="s">
        <x:v>31</x:v>
      </x:c>
      <x:c r="F75" s="4">
        <x:v>9.0</x:v>
      </x:c>
      <x:c r="G75" s="4">
        <x:v>9.0</x:v>
      </x:c>
      <x:c r="O75" s="7">
        <x:v>6.0</x:v>
      </x:c>
    </x:row>
    <x:row r="76" ht="15.75" customHeight="1">
      <x:c r="A76" s="4">
        <x:v>6537.0</x:v>
      </x:c>
      <x:c r="B76" s="4" t="s">
        <x:v>98</x:v>
      </x:c>
      <x:c r="C76" s="4" t="s">
        <x:v>133</x:v>
      </x:c>
      <x:c r="D76" s="4" t="s">
        <x:v>246</x:v>
      </x:c>
      <x:c r="E76" s="4" t="s">
        <x:v>51</x:v>
      </x:c>
      <x:c r="F76" s="4">
        <x:v>4.0</x:v>
      </x:c>
      <x:c r="G76" s="4">
        <x:v>4.0</x:v>
      </x:c>
    </x:row>
    <x:row r="77" ht="15.75" customHeight="1">
      <x:c r="A77" s="4">
        <x:v>418.0</x:v>
      </x:c>
      <x:c r="B77" s="4" t="s">
        <x:v>98</x:v>
      </x:c>
      <x:c r="C77" s="4" t="s">
        <x:v>103</x:v>
      </x:c>
      <x:c r="D77" s="4" t="s">
        <x:v>214</x:v>
      </x:c>
      <x:c r="E77" s="4" t="s">
        <x:v>35</x:v>
      </x:c>
      <x:c r="F77" s="4">
        <x:v>4.0</x:v>
      </x:c>
      <x:c r="G77" s="4">
        <x:v>4.0</x:v>
      </x:c>
    </x:row>
    <x:row r="78" ht="15.75" customHeight="1">
      <x:c r="A78" s="4">
        <x:v>2160.0</x:v>
      </x:c>
      <x:c r="B78" s="4" t="s">
        <x:v>98</x:v>
      </x:c>
      <x:c r="C78" s="4" t="s">
        <x:v>99</x:v>
      </x:c>
      <x:c r="D78" s="4" t="s">
        <x:v>102</x:v>
      </x:c>
      <x:c r="E78" s="4" t="s">
        <x:v>29</x:v>
      </x:c>
      <x:c r="F78" s="4">
        <x:v>18.0</x:v>
      </x:c>
      <x:c r="G78" s="4">
        <x:v>18.0</x:v>
      </x:c>
      <x:c r="H78" s="7">
        <x:v>30.0</x:v>
      </x:c>
    </x:row>
    <x:row r="79" ht="15.75" customHeight="1">
      <x:c r="A79" s="4">
        <x:v>5427.0</x:v>
      </x:c>
      <x:c r="B79" s="4" t="s">
        <x:v>98</x:v>
      </x:c>
      <x:c r="C79" s="4" t="s">
        <x:v>116</x:v>
      </x:c>
      <x:c r="D79" s="4" t="s">
        <x:v>174</x:v>
      </x:c>
      <x:c r="E79" s="4" t="s">
        <x:v>23</x:v>
      </x:c>
      <x:c r="F79" s="4">
        <x:v>7.0</x:v>
      </x:c>
      <x:c r="G79" s="4">
        <x:v>8.0</x:v>
      </x:c>
      <x:c r="J79" s="7">
        <x:v>7.0</x:v>
      </x:c>
    </x:row>
    <x:row r="80" ht="15.75" customHeight="1">
      <x:c r="A80" s="4">
        <x:v>7212.0</x:v>
      </x:c>
      <x:c r="B80" s="4" t="s">
        <x:v>98</x:v>
      </x:c>
      <x:c r="C80" s="4" t="s">
        <x:v>124</x:v>
      </x:c>
      <x:c r="D80" s="4" t="s">
        <x:v>205</x:v>
      </x:c>
      <x:c r="E80" s="4" t="s">
        <x:v>33</x:v>
      </x:c>
      <x:c r="F80" s="4">
        <x:v>5.0</x:v>
      </x:c>
      <x:c r="G80" s="4">
        <x:v>4.0</x:v>
      </x:c>
    </x:row>
    <x:row r="81" ht="15.75" customHeight="1">
      <x:c r="A81" s="4">
        <x:v>4807.0</x:v>
      </x:c>
      <x:c r="B81" s="4" t="s">
        <x:v>98</x:v>
      </x:c>
      <x:c r="C81" s="4" t="s">
        <x:v>103</x:v>
      </x:c>
      <x:c r="D81" s="4" t="s">
        <x:v>236</x:v>
      </x:c>
      <x:c r="E81" s="4" t="s">
        <x:v>25</x:v>
      </x:c>
      <x:c r="F81" s="4">
        <x:v>4.0</x:v>
      </x:c>
      <x:c r="G81" s="4">
        <x:v>3.0</x:v>
      </x:c>
    </x:row>
    <x:row r="82" ht="15.75" customHeight="1">
      <x:c r="A82" s="4">
        <x:v>6046.0</x:v>
      </x:c>
      <x:c r="B82" s="4" t="s">
        <x:v>98</x:v>
      </x:c>
      <x:c r="C82" s="4" t="s">
        <x:v>103</x:v>
      </x:c>
      <x:c r="D82" s="4" t="s">
        <x:v>123</x:v>
      </x:c>
      <x:c r="E82" s="4" t="s">
        <x:v>27</x:v>
      </x:c>
      <x:c r="F82" s="4">
        <x:v>10.0</x:v>
      </x:c>
      <x:c r="G82" s="4">
        <x:v>11.0</x:v>
      </x:c>
      <x:c r="O82" s="7">
        <x:v>6.0</x:v>
      </x:c>
    </x:row>
    <x:row r="83" ht="15.75" customHeight="1">
      <x:c r="A83" s="4">
        <x:v>5678.0</x:v>
      </x:c>
      <x:c r="B83" s="4" t="s">
        <x:v>98</x:v>
      </x:c>
      <x:c r="C83" s="4" t="s">
        <x:v>109</x:v>
      </x:c>
      <x:c r="D83" s="4" t="s">
        <x:v>160</x:v>
      </x:c>
      <x:c r="E83" s="4" t="s">
        <x:v>33</x:v>
      </x:c>
      <x:c r="F83" s="4">
        <x:v>7.0</x:v>
      </x:c>
      <x:c r="G83" s="4">
        <x:v>8.0</x:v>
      </x:c>
    </x:row>
    <x:row r="84" ht="15.75" customHeight="1">
      <x:c r="A84" s="4">
        <x:v>140.0</x:v>
      </x:c>
      <x:c r="B84" s="4" t="s">
        <x:v>98</x:v>
      </x:c>
      <x:c r="C84" s="4" t="s">
        <x:v>154</x:v>
      </x:c>
      <x:c r="D84" s="4" t="s">
        <x:v>259</x:v>
      </x:c>
      <x:c r="E84" s="4" t="s">
        <x:v>31</x:v>
      </x:c>
      <x:c r="F84" s="4">
        <x:v>3.0</x:v>
      </x:c>
      <x:c r="G84" s="4">
        <x:v>3.0</x:v>
      </x:c>
    </x:row>
    <x:row r="85" ht="15.75" customHeight="1">
      <x:c r="A85" s="4">
        <x:v>7125.0</x:v>
      </x:c>
      <x:c r="B85" s="4" t="s">
        <x:v>98</x:v>
      </x:c>
      <x:c r="C85" s="4" t="s">
        <x:v>116</x:v>
      </x:c>
      <x:c r="D85" s="4" t="s">
        <x:v>254</x:v>
      </x:c>
      <x:c r="E85" s="4" t="s">
        <x:v>39</x:v>
      </x:c>
      <x:c r="F85" s="4">
        <x:v>3.0</x:v>
      </x:c>
      <x:c r="G85" s="4">
        <x:v>3.0</x:v>
      </x:c>
    </x:row>
    <x:row r="86" ht="15.75" customHeight="1">
      <x:c r="A86" s="4">
        <x:v>6672.0</x:v>
      </x:c>
      <x:c r="B86" s="4" t="s">
        <x:v>98</x:v>
      </x:c>
      <x:c r="C86" s="4" t="s">
        <x:v>103</x:v>
      </x:c>
      <x:c r="D86" s="4" t="s">
        <x:v>173</x:v>
      </x:c>
      <x:c r="E86" s="4" t="s">
        <x:v>49</x:v>
      </x:c>
      <x:c r="F86" s="4">
        <x:v>7.0</x:v>
      </x:c>
      <x:c r="G86" s="4">
        <x:v>7.0</x:v>
      </x:c>
    </x:row>
    <x:row r="87" ht="15.75" customHeight="1">
      <x:c r="A87" s="4">
        <x:v>5010.0</x:v>
      </x:c>
      <x:c r="B87" s="4" t="s">
        <x:v>98</x:v>
      </x:c>
      <x:c r="C87" s="4" t="s">
        <x:v>103</x:v>
      </x:c>
      <x:c r="D87" s="4" t="s">
        <x:v>168</x:v>
      </x:c>
      <x:c r="E87" s="4" t="s">
        <x:v>41</x:v>
      </x:c>
      <x:c r="F87" s="4">
        <x:v>7.0</x:v>
      </x:c>
      <x:c r="G87" s="4">
        <x:v>8.0</x:v>
      </x:c>
    </x:row>
    <x:row r="88" ht="15.75" customHeight="1">
      <x:c r="A88" s="4">
        <x:v>6883.0</x:v>
      </x:c>
      <x:c r="B88" s="4" t="s">
        <x:v>98</x:v>
      </x:c>
      <x:c r="C88" s="4" t="s">
        <x:v>103</x:v>
      </x:c>
      <x:c r="D88" s="4" t="s">
        <x:v>260</x:v>
      </x:c>
      <x:c r="E88" s="4" t="s">
        <x:v>43</x:v>
      </x:c>
      <x:c r="F88" s="4">
        <x:v>3.0</x:v>
      </x:c>
      <x:c r="G88" s="4">
        <x:v>3.0</x:v>
      </x:c>
    </x:row>
    <x:row r="89" ht="15.75" customHeight="1">
      <x:c r="A89" s="4">
        <x:v>7175.0</x:v>
      </x:c>
      <x:c r="B89" s="4" t="s">
        <x:v>98</x:v>
      </x:c>
      <x:c r="C89" s="4" t="s">
        <x:v>99</x:v>
      </x:c>
      <x:c r="D89" s="4" t="s">
        <x:v>153</x:v>
      </x:c>
      <x:c r="E89" s="4" t="s">
        <x:v>17</x:v>
      </x:c>
      <x:c r="F89" s="4">
        <x:v>8.0</x:v>
      </x:c>
      <x:c r="G89" s="4">
        <x:v>8.0</x:v>
      </x:c>
      <x:c r="J89" s="7">
        <x:v>5.0</x:v>
      </x:c>
    </x:row>
    <x:row r="90" ht="15.75" customHeight="1">
      <x:c r="A90" s="4">
        <x:v>256.0</x:v>
      </x:c>
      <x:c r="B90" s="4" t="s">
        <x:v>98</x:v>
      </x:c>
      <x:c r="C90" s="4" t="s">
        <x:v>124</x:v>
      </x:c>
      <x:c r="D90" s="4" t="s">
        <x:v>231</x:v>
      </x:c>
      <x:c r="E90" s="4" t="s">
        <x:v>23</x:v>
      </x:c>
      <x:c r="F90" s="4">
        <x:v>4.0</x:v>
      </x:c>
      <x:c r="G90" s="4">
        <x:v>3.0</x:v>
      </x:c>
    </x:row>
    <x:row r="91" ht="15.75" customHeight="1">
      <x:c r="A91" s="4">
        <x:v>4263.0</x:v>
      </x:c>
      <x:c r="B91" s="4" t="s">
        <x:v>98</x:v>
      </x:c>
      <x:c r="C91" s="4" t="s">
        <x:v>103</x:v>
      </x:c>
      <x:c r="D91" s="4" t="s">
        <x:v>268</x:v>
      </x:c>
      <x:c r="E91" s="4" t="s">
        <x:v>51</x:v>
      </x:c>
      <x:c r="F91" s="4">
        <x:v>3.0</x:v>
      </x:c>
      <x:c r="G91" s="4">
        <x:v>3.0</x:v>
      </x:c>
    </x:row>
    <x:row r="92" ht="15.75" customHeight="1">
      <x:c r="A92" s="4">
        <x:v>4976.0</x:v>
      </x:c>
      <x:c r="B92" s="4" t="s">
        <x:v>98</x:v>
      </x:c>
      <x:c r="C92" s="4" t="s">
        <x:v>133</x:v>
      </x:c>
      <x:c r="D92" s="4" t="s">
        <x:v>134</x:v>
      </x:c>
      <x:c r="E92" s="4" t="s">
        <x:v>17</x:v>
      </x:c>
      <x:c r="F92" s="4">
        <x:v>9.0</x:v>
      </x:c>
      <x:c r="G92" s="4">
        <x:v>9.0</x:v>
      </x:c>
      <x:c r="M92" s="7">
        <x:v>11.0</x:v>
      </x:c>
    </x:row>
    <x:row r="93" ht="15.75" customHeight="1">
      <x:c r="A93" s="4">
        <x:v>5555.0</x:v>
      </x:c>
      <x:c r="B93" s="4" t="s">
        <x:v>98</x:v>
      </x:c>
      <x:c r="C93" s="4" t="s">
        <x:v>116</x:v>
      </x:c>
      <x:c r="D93" s="4" t="s">
        <x:v>171</x:v>
      </x:c>
      <x:c r="E93" s="4" t="s">
        <x:v>51</x:v>
      </x:c>
      <x:c r="F93" s="4">
        <x:v>7.0</x:v>
      </x:c>
      <x:c r="G93" s="4">
        <x:v>7.0</x:v>
      </x:c>
    </x:row>
    <x:row r="94" ht="15.75" customHeight="1">
      <x:c r="A94" s="4">
        <x:v>6766.0</x:v>
      </x:c>
      <x:c r="B94" s="4" t="s">
        <x:v>98</x:v>
      </x:c>
      <x:c r="C94" s="4" t="s">
        <x:v>124</x:v>
      </x:c>
      <x:c r="D94" s="4" t="s">
        <x:v>164</x:v>
      </x:c>
      <x:c r="E94" s="4" t="s">
        <x:v>17</x:v>
      </x:c>
      <x:c r="F94" s="4">
        <x:v>7.0</x:v>
      </x:c>
      <x:c r="G94" s="4">
        <x:v>7.0</x:v>
      </x:c>
      <x:c r="O94" s="7">
        <x:v>3.0</x:v>
      </x:c>
    </x:row>
    <x:row r="95" ht="15.75" customHeight="1">
      <x:c r="A95" s="4">
        <x:v>6893.0</x:v>
      </x:c>
      <x:c r="B95" s="4" t="s">
        <x:v>98</x:v>
      </x:c>
      <x:c r="C95" s="4" t="s">
        <x:v>103</x:v>
      </x:c>
      <x:c r="D95" s="4" t="s">
        <x:v>178</x:v>
      </x:c>
      <x:c r="E95" s="4" t="s">
        <x:v>35</x:v>
      </x:c>
      <x:c r="F95" s="4">
        <x:v>6.0</x:v>
      </x:c>
      <x:c r="G95" s="4">
        <x:v>5.0</x:v>
      </x:c>
      <x:c r="J95" s="7">
        <x:v>4.0</x:v>
      </x:c>
    </x:row>
    <x:row r="96" ht="15.75" customHeight="1">
      <x:c r="A96" s="4">
        <x:v>2640.0</x:v>
      </x:c>
      <x:c r="B96" s="4" t="s">
        <x:v>98</x:v>
      </x:c>
      <x:c r="C96" s="4" t="s">
        <x:v>127</x:v>
      </x:c>
      <x:c r="D96" s="4" t="s">
        <x:v>175</x:v>
      </x:c>
      <x:c r="E96" s="4" t="s">
        <x:v>27</x:v>
      </x:c>
      <x:c r="F96" s="4">
        <x:v>6.0</x:v>
      </x:c>
      <x:c r="G96" s="4">
        <x:v>7.0</x:v>
      </x:c>
    </x:row>
    <x:row r="97" ht="15.75" customHeight="1">
      <x:c r="A97" s="4">
        <x:v>5578.0</x:v>
      </x:c>
      <x:c r="B97" s="4" t="s">
        <x:v>98</x:v>
      </x:c>
      <x:c r="C97" s="4" t="s">
        <x:v>133</x:v>
      </x:c>
      <x:c r="D97" s="4" t="s">
        <x:v>144</x:v>
      </x:c>
      <x:c r="E97" s="4" t="s">
        <x:v>27</x:v>
      </x:c>
      <x:c r="F97" s="4">
        <x:v>8.0</x:v>
      </x:c>
      <x:c r="G97" s="4">
        <x:v>9.0</x:v>
      </x:c>
    </x:row>
    <x:row r="98" ht="15.75" customHeight="1">
      <x:c r="A98" s="4">
        <x:v>7238.0</x:v>
      </x:c>
      <x:c r="B98" s="4" t="s">
        <x:v>98</x:v>
      </x:c>
      <x:c r="C98" s="4" t="s">
        <x:v>103</x:v>
      </x:c>
      <x:c r="D98" s="4" t="s">
        <x:v>297</x:v>
      </x:c>
      <x:c r="E98" s="4" t="s">
        <x:v>29</x:v>
      </x:c>
      <x:c r="F98" s="4">
        <x:v>1.0</x:v>
      </x:c>
      <x:c r="G98" s="4">
        <x:v>1.0</x:v>
      </x:c>
    </x:row>
    <x:row r="99" ht="15.75" customHeight="1">
      <x:c r="A99" s="4">
        <x:v>7136.0</x:v>
      </x:c>
      <x:c r="B99" s="4" t="s">
        <x:v>98</x:v>
      </x:c>
      <x:c r="C99" s="4" t="s">
        <x:v>133</x:v>
      </x:c>
      <x:c r="D99" s="4" t="s">
        <x:v>230</x:v>
      </x:c>
      <x:c r="E99" s="4" t="s">
        <x:v>43</x:v>
      </x:c>
      <x:c r="F99" s="4">
        <x:v>4.0</x:v>
      </x:c>
      <x:c r="G99" s="4">
        <x:v>4.0</x:v>
      </x:c>
    </x:row>
    <x:row r="100" ht="15.75" customHeight="1">
      <x:c r="A100" s="4">
        <x:v>6485.0</x:v>
      </x:c>
      <x:c r="B100" s="4" t="s">
        <x:v>98</x:v>
      </x:c>
      <x:c r="C100" s="4" t="s">
        <x:v>133</x:v>
      </x:c>
      <x:c r="D100" s="4" t="s">
        <x:v>170</x:v>
      </x:c>
      <x:c r="E100" s="4" t="s">
        <x:v>51</x:v>
      </x:c>
      <x:c r="F100" s="4">
        <x:v>7.0</x:v>
      </x:c>
      <x:c r="G100" s="4">
        <x:v>5.0</x:v>
      </x:c>
    </x:row>
    <x:row r="101" ht="15.75" customHeight="1">
      <x:c r="A101" s="4">
        <x:v>6351.0</x:v>
      </x:c>
      <x:c r="B101" s="4" t="s">
        <x:v>98</x:v>
      </x:c>
      <x:c r="C101" s="4" t="s">
        <x:v>154</x:v>
      </x:c>
      <x:c r="D101" s="4" t="s">
        <x:v>251</x:v>
      </x:c>
      <x:c r="E101" s="4" t="s">
        <x:v>29</x:v>
      </x:c>
      <x:c r="F101" s="4">
        <x:v>4.0</x:v>
      </x:c>
      <x:c r="G101" s="4">
        <x:v>4.0</x:v>
      </x:c>
    </x:row>
    <x:row r="102" ht="15.75" customHeight="1">
      <x:c r="A102" s="4">
        <x:v>4385.0</x:v>
      </x:c>
      <x:c r="B102" s="4" t="s">
        <x:v>98</x:v>
      </x:c>
      <x:c r="C102" s="4" t="s">
        <x:v>109</x:v>
      </x:c>
      <x:c r="D102" s="4" t="s">
        <x:v>186</x:v>
      </x:c>
      <x:c r="E102" s="4" t="s">
        <x:v>41</x:v>
      </x:c>
      <x:c r="F102" s="4">
        <x:v>6.0</x:v>
      </x:c>
      <x:c r="G102" s="4">
        <x:v>7.0</x:v>
      </x:c>
      <x:c r="I102" s="7">
        <x:v>8.0</x:v>
      </x:c>
    </x:row>
    <x:row r="103" ht="15.75" customHeight="1">
      <x:c r="A103" s="4">
        <x:v>2263.0</x:v>
      </x:c>
      <x:c r="B103" s="4" t="s">
        <x:v>98</x:v>
      </x:c>
      <x:c r="C103" s="4" t="s">
        <x:v>109</x:v>
      </x:c>
      <x:c r="D103" s="4" t="s">
        <x:v>228</x:v>
      </x:c>
      <x:c r="E103" s="4" t="s">
        <x:v>31</x:v>
      </x:c>
      <x:c r="F103" s="4">
        <x:v>4.0</x:v>
      </x:c>
      <x:c r="G103" s="4">
        <x:v>4.0</x:v>
      </x:c>
    </x:row>
    <x:row r="104" ht="15.75" customHeight="1">
      <x:c r="A104" s="4">
        <x:v>6965.0</x:v>
      </x:c>
      <x:c r="B104" s="4" t="s">
        <x:v>98</x:v>
      </x:c>
      <x:c r="C104" s="4" t="s">
        <x:v>116</x:v>
      </x:c>
      <x:c r="D104" s="4" t="s">
        <x:v>265</x:v>
      </x:c>
      <x:c r="E104" s="4" t="s">
        <x:v>45</x:v>
      </x:c>
      <x:c r="F104" s="4">
        <x:v>3.0</x:v>
      </x:c>
      <x:c r="G104" s="4">
        <x:v>2.0</x:v>
      </x:c>
      <x:c r="L104" s="7">
        <x:v>1.0</x:v>
      </x:c>
    </x:row>
    <x:row r="105" ht="15.75" customHeight="1">
      <x:c r="A105" s="4">
        <x:v>6042.0</x:v>
      </x:c>
      <x:c r="B105" s="4" t="s">
        <x:v>98</x:v>
      </x:c>
      <x:c r="C105" s="4" t="s">
        <x:v>103</x:v>
      </x:c>
      <x:c r="D105" s="4" t="s">
        <x:v>145</x:v>
      </x:c>
      <x:c r="E105" s="4" t="s">
        <x:v>33</x:v>
      </x:c>
      <x:c r="F105" s="4">
        <x:v>8.0</x:v>
      </x:c>
      <x:c r="G105" s="4">
        <x:v>8.0</x:v>
      </x:c>
      <x:c r="K105" s="7">
        <x:v>4.0</x:v>
      </x:c>
    </x:row>
    <x:row r="106" ht="15.75" customHeight="1">
      <x:c r="A106" s="4">
        <x:v>393.0</x:v>
      </x:c>
      <x:c r="B106" s="4" t="s">
        <x:v>98</x:v>
      </x:c>
      <x:c r="C106" s="4" t="s">
        <x:v>103</x:v>
      </x:c>
      <x:c r="D106" s="4" t="s">
        <x:v>131</x:v>
      </x:c>
      <x:c r="E106" s="4" t="s">
        <x:v>39</x:v>
      </x:c>
      <x:c r="F106" s="4">
        <x:v>9.0</x:v>
      </x:c>
      <x:c r="G106" s="4">
        <x:v>7.0</x:v>
      </x:c>
      <x:c r="L106" s="7">
        <x:v>1.0</x:v>
      </x:c>
    </x:row>
    <x:row r="107" ht="15.75" customHeight="1">
      <x:c r="A107" s="4">
        <x:v>2653.0</x:v>
      </x:c>
      <x:c r="B107" s="4" t="s">
        <x:v>98</x:v>
      </x:c>
      <x:c r="C107" s="4" t="s">
        <x:v>116</x:v>
      </x:c>
      <x:c r="D107" s="4" t="s">
        <x:v>192</x:v>
      </x:c>
      <x:c r="E107" s="4" t="s">
        <x:v>33</x:v>
      </x:c>
      <x:c r="F107" s="4">
        <x:v>5.0</x:v>
      </x:c>
      <x:c r="G107" s="4">
        <x:v>5.0</x:v>
      </x:c>
    </x:row>
    <x:row r="108" ht="15.75" customHeight="1">
      <x:c r="A108" s="4">
        <x:v>2296.0</x:v>
      </x:c>
      <x:c r="B108" s="4" t="s">
        <x:v>98</x:v>
      </x:c>
      <x:c r="C108" s="4" t="s">
        <x:v>103</x:v>
      </x:c>
      <x:c r="D108" s="4" t="s">
        <x:v>120</x:v>
      </x:c>
      <x:c r="E108" s="4" t="s">
        <x:v>25</x:v>
      </x:c>
      <x:c r="F108" s="4">
        <x:v>11.0</x:v>
      </x:c>
      <x:c r="G108" s="4">
        <x:v>11.0</x:v>
      </x:c>
      <x:c r="K108" s="7">
        <x:v>13.0</x:v>
      </x:c>
    </x:row>
    <x:row r="109" ht="15.75" customHeight="1">
      <x:c r="A109" s="4">
        <x:v>6660.0</x:v>
      </x:c>
      <x:c r="B109" s="4" t="s">
        <x:v>98</x:v>
      </x:c>
      <x:c r="C109" s="4" t="s">
        <x:v>103</x:v>
      </x:c>
      <x:c r="D109" s="4" t="s">
        <x:v>220</x:v>
      </x:c>
      <x:c r="E109" s="4" t="s">
        <x:v>37</x:v>
      </x:c>
      <x:c r="F109" s="4">
        <x:v>4.0</x:v>
      </x:c>
      <x:c r="G109" s="4">
        <x:v>3.0</x:v>
      </x:c>
    </x:row>
    <x:row r="110" ht="15.75" customHeight="1">
      <x:c r="A110" s="4">
        <x:v>4904.0</x:v>
      </x:c>
      <x:c r="B110" s="4" t="s">
        <x:v>98</x:v>
      </x:c>
      <x:c r="C110" s="4" t="s">
        <x:v>103</x:v>
      </x:c>
      <x:c r="D110" s="4" t="s">
        <x:v>181</x:v>
      </x:c>
      <x:c r="E110" s="4" t="s">
        <x:v>29</x:v>
      </x:c>
      <x:c r="F110" s="4">
        <x:v>6.0</x:v>
      </x:c>
      <x:c r="G110" s="4">
        <x:v>7.0</x:v>
      </x:c>
    </x:row>
    <x:row r="111" ht="15.75" customHeight="1">
      <x:c r="A111" s="4">
        <x:v>6809.0</x:v>
      </x:c>
      <x:c r="B111" s="4" t="s">
        <x:v>98</x:v>
      </x:c>
      <x:c r="C111" s="4" t="s">
        <x:v>103</x:v>
      </x:c>
      <x:c r="D111" s="4" t="s">
        <x:v>262</x:v>
      </x:c>
      <x:c r="E111" s="4" t="s">
        <x:v>23</x:v>
      </x:c>
      <x:c r="F111" s="4">
        <x:v>3.0</x:v>
      </x:c>
      <x:c r="G111" s="4">
        <x:v>3.0</x:v>
      </x:c>
    </x:row>
    <x:row r="112" ht="15.75" customHeight="1">
      <x:c r="A112" s="4">
        <x:v>4665.0</x:v>
      </x:c>
      <x:c r="B112" s="4" t="s">
        <x:v>98</x:v>
      </x:c>
      <x:c r="C112" s="4" t="s">
        <x:v>103</x:v>
      </x:c>
      <x:c r="D112" s="4" t="s">
        <x:v>169</x:v>
      </x:c>
      <x:c r="E112" s="4" t="s">
        <x:v>41</x:v>
      </x:c>
      <x:c r="F112" s="4">
        <x:v>7.0</x:v>
      </x:c>
      <x:c r="G112" s="4">
        <x:v>7.0</x:v>
      </x:c>
    </x:row>
    <x:row r="113" ht="15.75" customHeight="1">
      <x:c r="A113" s="4">
        <x:v>2593.0</x:v>
      </x:c>
      <x:c r="B113" s="4" t="s">
        <x:v>98</x:v>
      </x:c>
      <x:c r="C113" s="4" t="s">
        <x:v>116</x:v>
      </x:c>
      <x:c r="D113" s="4" t="s">
        <x:v>126</x:v>
      </x:c>
      <x:c r="E113" s="4" t="s">
        <x:v>37</x:v>
      </x:c>
      <x:c r="F113" s="4">
        <x:v>10.0</x:v>
      </x:c>
      <x:c r="G113" s="4">
        <x:v>10.0</x:v>
      </x:c>
      <x:c r="M113" s="7">
        <x:v>17.0</x:v>
      </x:c>
    </x:row>
    <x:row r="114" ht="15.75" customHeight="1">
      <x:c r="A114" s="4">
        <x:v>2188.0</x:v>
      </x:c>
      <x:c r="B114" s="4" t="s">
        <x:v>98</x:v>
      </x:c>
      <x:c r="C114" s="4" t="s">
        <x:v>154</x:v>
      </x:c>
      <x:c r="D114" s="4" t="s">
        <x:v>155</x:v>
      </x:c>
      <x:c r="E114" s="4" t="s">
        <x:v>31</x:v>
      </x:c>
      <x:c r="F114" s="4">
        <x:v>8.0</x:v>
      </x:c>
      <x:c r="G114" s="4">
        <x:v>8.0</x:v>
      </x:c>
      <x:c r="K114" s="7">
        <x:v>4.0</x:v>
      </x:c>
    </x:row>
    <x:row r="115" ht="15.75" customHeight="1">
      <x:c r="A115" s="4">
        <x:v>49.0</x:v>
      </x:c>
      <x:c r="B115" s="4" t="s">
        <x:v>98</x:v>
      </x:c>
      <x:c r="C115" s="4" t="s">
        <x:v>127</x:v>
      </x:c>
      <x:c r="D115" s="4" t="s">
        <x:v>281</x:v>
      </x:c>
      <x:c r="E115" s="4" t="s">
        <x:v>41</x:v>
      </x:c>
      <x:c r="F115" s="4">
        <x:v>2.0</x:v>
      </x:c>
      <x:c r="G115" s="4">
        <x:v>3.0</x:v>
      </x:c>
    </x:row>
    <x:row r="116" ht="15.75" customHeight="1">
      <x:c r="A116" s="4">
        <x:v>6411.0</x:v>
      </x:c>
      <x:c r="B116" s="4" t="s">
        <x:v>98</x:v>
      </x:c>
      <x:c r="C116" s="4" t="s">
        <x:v>103</x:v>
      </x:c>
      <x:c r="D116" s="4" t="s">
        <x:v>234</x:v>
      </x:c>
      <x:c r="E116" s="4" t="s">
        <x:v>55</x:v>
      </x:c>
      <x:c r="F116" s="4">
        <x:v>4.0</x:v>
      </x:c>
      <x:c r="G116" s="4">
        <x:v>4.0</x:v>
      </x:c>
    </x:row>
    <x:row r="117" ht="15.75" customHeight="1">
      <x:c r="A117" s="4">
        <x:v>5481.0</x:v>
      </x:c>
      <x:c r="B117" s="4" t="s">
        <x:v>98</x:v>
      </x:c>
      <x:c r="C117" s="4" t="s">
        <x:v>154</x:v>
      </x:c>
      <x:c r="D117" s="4" t="s">
        <x:v>264</x:v>
      </x:c>
      <x:c r="E117" s="4" t="s">
        <x:v>23</x:v>
      </x:c>
      <x:c r="F117" s="4">
        <x:v>3.0</x:v>
      </x:c>
      <x:c r="G117" s="4">
        <x:v>3.0</x:v>
      </x:c>
    </x:row>
    <x:row r="118" ht="15.75" customHeight="1">
      <x:c r="A118" s="4">
        <x:v>7170.0</x:v>
      </x:c>
      <x:c r="B118" s="4" t="s">
        <x:v>98</x:v>
      </x:c>
      <x:c r="C118" s="4" t="s">
        <x:v>103</x:v>
      </x:c>
      <x:c r="D118" s="4" t="s">
        <x:v>292</x:v>
      </x:c>
      <x:c r="E118" s="4" t="s">
        <x:v>55</x:v>
      </x:c>
      <x:c r="F118" s="4">
        <x:v>1.0</x:v>
      </x:c>
      <x:c r="G118" s="4">
        <x:v>1.0</x:v>
      </x:c>
    </x:row>
    <x:row r="119" ht="15.75" customHeight="1">
      <x:c r="A119" s="4">
        <x:v>4210.0</x:v>
      </x:c>
      <x:c r="B119" s="4" t="s">
        <x:v>98</x:v>
      </x:c>
      <x:c r="C119" s="4" t="s">
        <x:v>103</x:v>
      </x:c>
      <x:c r="D119" s="4" t="s">
        <x:v>161</x:v>
      </x:c>
      <x:c r="E119" s="4" t="s">
        <x:v>39</x:v>
      </x:c>
      <x:c r="F119" s="4">
        <x:v>7.0</x:v>
      </x:c>
      <x:c r="G119" s="4">
        <x:v>7.0</x:v>
      </x:c>
      <x:c r="M119" s="7">
        <x:v>1.0</x:v>
      </x:c>
    </x:row>
    <x:row r="120" ht="15.75" customHeight="1">
      <x:c r="A120" s="4">
        <x:v>4734.0</x:v>
      </x:c>
      <x:c r="B120" s="4" t="s">
        <x:v>98</x:v>
      </x:c>
      <x:c r="C120" s="4" t="s">
        <x:v>116</x:v>
      </x:c>
      <x:c r="D120" s="4" t="s">
        <x:v>147</x:v>
      </x:c>
      <x:c r="E120" s="4" t="s">
        <x:v>33</x:v>
      </x:c>
      <x:c r="F120" s="4">
        <x:v>8.0</x:v>
      </x:c>
      <x:c r="G120" s="4">
        <x:v>9.0</x:v>
      </x:c>
      <x:c r="N120" s="7">
        <x:v>11.0</x:v>
      </x:c>
    </x:row>
    <x:row r="121" ht="15.75" customHeight="1">
      <x:c r="A121" s="4">
        <x:v>5435.0</x:v>
      </x:c>
      <x:c r="B121" s="4" t="s">
        <x:v>98</x:v>
      </x:c>
      <x:c r="C121" s="4" t="s">
        <x:v>116</x:v>
      </x:c>
      <x:c r="D121" s="4" t="s">
        <x:v>255</x:v>
      </x:c>
      <x:c r="E121" s="4" t="s">
        <x:v>35</x:v>
      </x:c>
      <x:c r="F121" s="4">
        <x:v>3.0</x:v>
      </x:c>
      <x:c r="G121" s="4">
        <x:v>3.0</x:v>
      </x:c>
    </x:row>
    <x:row r="122" ht="15.75" customHeight="1">
      <x:c r="A122" s="4">
        <x:v>7155.0</x:v>
      </x:c>
      <x:c r="B122" s="4" t="s">
        <x:v>98</x:v>
      </x:c>
      <x:c r="C122" s="4" t="s">
        <x:v>103</x:v>
      </x:c>
      <x:c r="D122" s="4" t="s">
        <x:v>199</x:v>
      </x:c>
      <x:c r="E122" s="4" t="s">
        <x:v>49</x:v>
      </x:c>
      <x:c r="F122" s="4">
        <x:v>5.0</x:v>
      </x:c>
      <x:c r="G122" s="4">
        <x:v>5.0</x:v>
      </x:c>
    </x:row>
    <x:row r="123" ht="15.75" customHeight="1">
      <x:c r="A123" s="4">
        <x:v>4317.0</x:v>
      </x:c>
      <x:c r="B123" s="4" t="s">
        <x:v>98</x:v>
      </x:c>
      <x:c r="C123" s="4" t="s">
        <x:v>103</x:v>
      </x:c>
      <x:c r="D123" s="4" t="s">
        <x:v>121</x:v>
      </x:c>
      <x:c r="E123" s="4" t="s">
        <x:v>25</x:v>
      </x:c>
      <x:c r="F123" s="4">
        <x:v>11.0</x:v>
      </x:c>
      <x:c r="G123" s="4">
        <x:v>10.0</x:v>
      </x:c>
      <x:c r="N123" s="7">
        <x:v>20.0</x:v>
      </x:c>
    </x:row>
    <x:row r="124" ht="15.75" customHeight="1">
      <x:c r="A124" s="4">
        <x:v>7182.0</x:v>
      </x:c>
      <x:c r="B124" s="4" t="s">
        <x:v>98</x:v>
      </x:c>
      <x:c r="C124" s="4" t="s">
        <x:v>116</x:v>
      </x:c>
      <x:c r="D124" s="4" t="s">
        <x:v>290</x:v>
      </x:c>
      <x:c r="E124" s="4" t="s">
        <x:v>43</x:v>
      </x:c>
      <x:c r="F124" s="4">
        <x:v>1.0</x:v>
      </x:c>
      <x:c r="G124" s="4">
        <x:v>1.0</x:v>
      </x:c>
    </x:row>
    <x:row r="125" ht="15.75" customHeight="1">
      <x:c r="A125" s="4">
        <x:v>7202.0</x:v>
      </x:c>
      <x:c r="B125" s="4" t="s">
        <x:v>98</x:v>
      </x:c>
      <x:c r="C125" s="4" t="s">
        <x:v>103</x:v>
      </x:c>
      <x:c r="D125" s="4" t="s">
        <x:v>245</x:v>
      </x:c>
      <x:c r="E125" s="4" t="s">
        <x:v>45</x:v>
      </x:c>
      <x:c r="F125" s="4">
        <x:v>4.0</x:v>
      </x:c>
      <x:c r="G125" s="4">
        <x:v>4.0</x:v>
      </x:c>
    </x:row>
    <x:row r="126" ht="15.75" customHeight="1">
      <x:c r="A126" s="4">
        <x:v>7018.0</x:v>
      </x:c>
      <x:c r="B126" s="4" t="s">
        <x:v>98</x:v>
      </x:c>
      <x:c r="C126" s="4" t="s">
        <x:v>103</x:v>
      </x:c>
      <x:c r="D126" s="4" t="s">
        <x:v>248</x:v>
      </x:c>
      <x:c r="E126" s="4" t="s">
        <x:v>57</x:v>
      </x:c>
      <x:c r="F126" s="4">
        <x:v>4.0</x:v>
      </x:c>
      <x:c r="G126" s="4">
        <x:v>5.0</x:v>
      </x:c>
    </x:row>
    <x:row r="127" ht="15.75" customHeight="1">
      <x:c r="A127" s="4">
        <x:v>5156.0</x:v>
      </x:c>
      <x:c r="B127" s="4" t="s">
        <x:v>98</x:v>
      </x:c>
      <x:c r="C127" s="4" t="s">
        <x:v>116</x:v>
      </x:c>
      <x:c r="D127" s="4" t="s">
        <x:v>272</x:v>
      </x:c>
      <x:c r="E127" s="4" t="s">
        <x:v>41</x:v>
      </x:c>
      <x:c r="F127" s="4">
        <x:v>3.0</x:v>
      </x:c>
      <x:c r="G127" s="4">
        <x:v>3.0</x:v>
      </x:c>
    </x:row>
    <x:row r="128" ht="15.75" customHeight="1">
      <x:c r="A128" s="4">
        <x:v>6814.0</x:v>
      </x:c>
      <x:c r="B128" s="4" t="s">
        <x:v>98</x:v>
      </x:c>
      <x:c r="C128" s="4" t="s">
        <x:v>109</x:v>
      </x:c>
      <x:c r="D128" s="4" t="s">
        <x:v>221</x:v>
      </x:c>
      <x:c r="E128" s="4" t="s">
        <x:v>37</x:v>
      </x:c>
      <x:c r="F128" s="4">
        <x:v>4.0</x:v>
      </x:c>
      <x:c r="G128" s="4">
        <x:v>3.0</x:v>
      </x:c>
      <x:c r="N128" s="7">
        <x:v>5.0</x:v>
      </x:c>
    </x:row>
    <x:row r="129" ht="15.75" customHeight="1">
      <x:c r="A129" s="4">
        <x:v>5701.0</x:v>
      </x:c>
      <x:c r="B129" s="4" t="s">
        <x:v>98</x:v>
      </x:c>
      <x:c r="C129" s="4" t="s">
        <x:v>124</x:v>
      </x:c>
      <x:c r="D129" s="4" t="s">
        <x:v>212</x:v>
      </x:c>
      <x:c r="E129" s="4" t="s">
        <x:v>39</x:v>
      </x:c>
      <x:c r="F129" s="4">
        <x:v>4.0</x:v>
      </x:c>
      <x:c r="G129" s="4">
        <x:v>4.0</x:v>
      </x:c>
    </x:row>
    <x:row r="130" ht="15.75" customHeight="1">
      <x:c r="A130" s="4">
        <x:v>7154.0</x:v>
      </x:c>
      <x:c r="B130" s="4" t="s">
        <x:v>98</x:v>
      </x:c>
      <x:c r="C130" s="4" t="s">
        <x:v>103</x:v>
      </x:c>
      <x:c r="D130" s="4" t="s">
        <x:v>266</x:v>
      </x:c>
      <x:c r="E130" s="4" t="s">
        <x:v>49</x:v>
      </x:c>
      <x:c r="F130" s="4">
        <x:v>3.0</x:v>
      </x:c>
      <x:c r="G130" s="4">
        <x:v>3.0</x:v>
      </x:c>
    </x:row>
    <x:row r="131" ht="15.75" customHeight="1">
      <x:c r="A131" s="4">
        <x:v>7271.0</x:v>
      </x:c>
      <x:c r="B131" s="4" t="s">
        <x:v>98</x:v>
      </x:c>
      <x:c r="C131" s="4" t="s">
        <x:v>103</x:v>
      </x:c>
      <x:c r="D131" s="4" t="s">
        <x:v>286</x:v>
      </x:c>
      <x:c r="E131" s="4" t="s">
        <x:v>21</x:v>
      </x:c>
      <x:c r="F131" s="4">
        <x:v>2.0</x:v>
      </x:c>
      <x:c r="G131" s="4">
        <x:v>2.0</x:v>
      </x:c>
    </x:row>
    <x:row r="132" ht="15.75" customHeight="1">
      <x:c r="A132" s="4">
        <x:v>5840.0</x:v>
      </x:c>
      <x:c r="B132" s="4" t="s">
        <x:v>98</x:v>
      </x:c>
      <x:c r="C132" s="4" t="s">
        <x:v>116</x:v>
      </x:c>
      <x:c r="D132" s="4" t="s">
        <x:v>129</x:v>
      </x:c>
      <x:c r="E132" s="4" t="s">
        <x:v>23</x:v>
      </x:c>
      <x:c r="F132" s="4">
        <x:v>10.0</x:v>
      </x:c>
      <x:c r="G132" s="4">
        <x:v>10.0</x:v>
      </x:c>
      <x:c r="O132" s="7">
        <x:v>6.0</x:v>
      </x:c>
    </x:row>
    <x:row r="133" ht="15.75" customHeight="1">
      <x:c r="A133" s="4">
        <x:v>5750.0</x:v>
      </x:c>
      <x:c r="B133" s="4" t="s">
        <x:v>98</x:v>
      </x:c>
      <x:c r="C133" s="4" t="s">
        <x:v>103</x:v>
      </x:c>
      <x:c r="D133" s="4" t="s">
        <x:v>203</x:v>
      </x:c>
      <x:c r="E133" s="4" t="s">
        <x:v>37</x:v>
      </x:c>
      <x:c r="F133" s="4">
        <x:v>5.0</x:v>
      </x:c>
      <x:c r="G133" s="4">
        <x:v>5.0</x:v>
      </x:c>
    </x:row>
    <x:row r="134" ht="15.75" customHeight="1">
      <x:c r="A134" s="4">
        <x:v>6977.0</x:v>
      </x:c>
      <x:c r="B134" s="4" t="s">
        <x:v>98</x:v>
      </x:c>
      <x:c r="C134" s="4" t="s">
        <x:v>103</x:v>
      </x:c>
      <x:c r="D134" s="4" t="s">
        <x:v>277</x:v>
      </x:c>
      <x:c r="E134" s="4" t="s">
        <x:v>37</x:v>
      </x:c>
      <x:c r="F134" s="4">
        <x:v>2.0</x:v>
      </x:c>
      <x:c r="G134" s="4">
        <x:v>2.0</x:v>
      </x:c>
    </x:row>
    <x:row r="135" ht="15.75" customHeight="1">
      <x:c r="A135" s="4">
        <x:v>6992.0</x:v>
      </x:c>
      <x:c r="B135" s="4" t="s">
        <x:v>98</x:v>
      </x:c>
      <x:c r="C135" s="4" t="s">
        <x:v>139</x:v>
      </x:c>
      <x:c r="D135" s="4" t="s">
        <x:v>283</x:v>
      </x:c>
      <x:c r="E135" s="4" t="s">
        <x:v>57</x:v>
      </x:c>
      <x:c r="F135" s="4">
        <x:v>2.0</x:v>
      </x:c>
      <x:c r="G135" s="4">
        <x:v>2.0</x:v>
      </x:c>
    </x:row>
    <x:row r="136" ht="15.75" customHeight="1">
      <x:c r="A136" s="4">
        <x:v>6874.0</x:v>
      </x:c>
      <x:c r="B136" s="4" t="s">
        <x:v>98</x:v>
      </x:c>
      <x:c r="C136" s="4" t="s">
        <x:v>103</x:v>
      </x:c>
      <x:c r="D136" s="4" t="s">
        <x:v>300</x:v>
      </x:c>
      <x:c r="E136" s="4" t="s">
        <x:v>19</x:v>
      </x:c>
      <x:c r="F136" s="4">
        <x:v>1.0</x:v>
      </x:c>
      <x:c r="G136" s="4">
        <x:v>1.0</x:v>
      </x:c>
    </x:row>
    <x:row r="137" ht="15.75" customHeight="1">
      <x:c r="A137" s="4">
        <x:v>6832.0</x:v>
      </x:c>
      <x:c r="B137" s="4" t="s">
        <x:v>98</x:v>
      </x:c>
      <x:c r="C137" s="4" t="s">
        <x:v>99</x:v>
      </x:c>
      <x:c r="D137" s="4" t="s">
        <x:v>208</x:v>
      </x:c>
      <x:c r="E137" s="4" t="s">
        <x:v>39</x:v>
      </x:c>
      <x:c r="F137" s="4">
        <x:v>4.0</x:v>
      </x:c>
      <x:c r="G137" s="4">
        <x:v>3.0</x:v>
      </x:c>
    </x:row>
    <x:row r="138" ht="15.75" customHeight="1">
      <x:c r="A138" s="4">
        <x:v>6925.0</x:v>
      </x:c>
      <x:c r="B138" s="4" t="s">
        <x:v>98</x:v>
      </x:c>
      <x:c r="C138" s="4" t="s">
        <x:v>103</x:v>
      </x:c>
      <x:c r="D138" s="4" t="s">
        <x:v>296</x:v>
      </x:c>
      <x:c r="E138" s="4" t="s">
        <x:v>51</x:v>
      </x:c>
      <x:c r="F138" s="4">
        <x:v>1.0</x:v>
      </x:c>
      <x:c r="G138" s="4">
        <x:v>1.0</x:v>
      </x:c>
    </x:row>
    <x:row r="139" ht="15.75" customHeight="1">
      <x:c r="A139" s="4">
        <x:v>5449.0</x:v>
      </x:c>
      <x:c r="B139" s="4" t="s">
        <x:v>98</x:v>
      </x:c>
      <x:c r="C139" s="4" t="s">
        <x:v>99</x:v>
      </x:c>
      <x:c r="D139" s="4" t="s">
        <x:v>195</x:v>
      </x:c>
      <x:c r="E139" s="4" t="s">
        <x:v>29</x:v>
      </x:c>
      <x:c r="F139" s="4">
        <x:v>5.0</x:v>
      </x:c>
      <x:c r="G139" s="4">
        <x:v>5.0</x:v>
      </x:c>
    </x:row>
    <x:row r="140" ht="15.75" customHeight="1">
      <x:c r="A140" s="4">
        <x:v>327.0</x:v>
      </x:c>
      <x:c r="B140" s="4" t="s">
        <x:v>98</x:v>
      </x:c>
      <x:c r="C140" s="4" t="s">
        <x:v>133</x:v>
      </x:c>
      <x:c r="D140" s="4" t="s">
        <x:v>227</x:v>
      </x:c>
      <x:c r="E140" s="4" t="s">
        <x:v>31</x:v>
      </x:c>
      <x:c r="F140" s="4">
        <x:v>4.0</x:v>
      </x:c>
      <x:c r="G140" s="4">
        <x:v>4.0</x:v>
      </x:c>
    </x:row>
    <x:row r="141" ht="15.75" customHeight="1">
      <x:c r="A141" s="4">
        <x:v>5022.0</x:v>
      </x:c>
      <x:c r="B141" s="4" t="s">
        <x:v>98</x:v>
      </x:c>
      <x:c r="C141" s="4" t="s">
        <x:v>103</x:v>
      </x:c>
      <x:c r="D141" s="4" t="s">
        <x:v>137</x:v>
      </x:c>
      <x:c r="E141" s="4" t="s">
        <x:v>21</x:v>
      </x:c>
      <x:c r="F141" s="4">
        <x:v>9.0</x:v>
      </x:c>
      <x:c r="G141" s="4">
        <x:v>7.0</x:v>
      </x:c>
      <x:c r="H141" s="7">
        <x:v>3.0</x:v>
      </x:c>
    </x:row>
    <x:row r="142" ht="15.75" customHeight="1">
      <x:c r="A142" s="4">
        <x:v>6431.0</x:v>
      </x:c>
      <x:c r="B142" s="4" t="s">
        <x:v>98</x:v>
      </x:c>
      <x:c r="C142" s="4" t="s">
        <x:v>109</x:v>
      </x:c>
      <x:c r="D142" s="4" t="s">
        <x:v>294</x:v>
      </x:c>
      <x:c r="E142" s="4" t="s">
        <x:v>49</x:v>
      </x:c>
      <x:c r="F142" s="4">
        <x:v>1.0</x:v>
      </x:c>
      <x:c r="G142" s="4">
        <x:v>1.0</x:v>
      </x:c>
    </x:row>
    <x:row r="143" ht="15.75" customHeight="1">
      <x:c r="A143" s="4">
        <x:v>6426.0</x:v>
      </x:c>
      <x:c r="B143" s="4" t="s">
        <x:v>98</x:v>
      </x:c>
      <x:c r="C143" s="4" t="s">
        <x:v>109</x:v>
      </x:c>
      <x:c r="D143" s="4" t="s">
        <x:v>239</x:v>
      </x:c>
      <x:c r="E143" s="4" t="s">
        <x:v>41</x:v>
      </x:c>
      <x:c r="F143" s="4">
        <x:v>4.0</x:v>
      </x:c>
      <x:c r="G143" s="4">
        <x:v>4.0</x:v>
      </x:c>
    </x:row>
    <x:row r="144" ht="15.75" customHeight="1">
      <x:c r="A144" s="4">
        <x:v>2728.0</x:v>
      </x:c>
      <x:c r="B144" s="4" t="s">
        <x:v>98</x:v>
      </x:c>
      <x:c r="C144" s="4" t="s">
        <x:v>116</x:v>
      </x:c>
      <x:c r="D144" s="4" t="s">
        <x:v>229</x:v>
      </x:c>
      <x:c r="E144" s="4" t="s">
        <x:v>31</x:v>
      </x:c>
      <x:c r="F144" s="4">
        <x:v>4.0</x:v>
      </x:c>
      <x:c r="G144" s="4">
        <x:v>3.0</x:v>
      </x:c>
    </x:row>
    <x:row r="145" ht="15.75" customHeight="1">
      <x:c r="A145" s="4">
        <x:v>7164.0</x:v>
      </x:c>
      <x:c r="B145" s="4" t="s">
        <x:v>98</x:v>
      </x:c>
      <x:c r="C145" s="4" t="s">
        <x:v>133</x:v>
      </x:c>
      <x:c r="D145" s="4" t="s">
        <x:v>289</x:v>
      </x:c>
      <x:c r="E145" s="4" t="s">
        <x:v>43</x:v>
      </x:c>
      <x:c r="F145" s="4">
        <x:v>1.0</x:v>
      </x:c>
      <x:c r="G145" s="4">
        <x:v>1.0</x:v>
      </x:c>
    </x:row>
    <x:row r="146" ht="15.75" customHeight="1">
      <x:c r="A146" s="4">
        <x:v>770.0</x:v>
      </x:c>
      <x:c r="B146" s="4" t="s">
        <x:v>98</x:v>
      </x:c>
      <x:c r="C146" s="4" t="s">
        <x:v>116</x:v>
      </x:c>
      <x:c r="D146" s="4" t="s">
        <x:v>180</x:v>
      </x:c>
      <x:c r="E146" s="4" t="s">
        <x:v>47</x:v>
      </x:c>
      <x:c r="F146" s="4">
        <x:v>6.0</x:v>
      </x:c>
      <x:c r="G146" s="4">
        <x:v>5.0</x:v>
      </x:c>
      <x:c r="L146" s="7">
        <x:v>1.0</x:v>
      </x:c>
    </x:row>
    <x:row r="147" ht="15.75" customHeight="1">
      <x:c r="A147" s="4">
        <x:v>7156.0</x:v>
      </x:c>
      <x:c r="B147" s="4" t="s">
        <x:v>98</x:v>
      </x:c>
      <x:c r="C147" s="4" t="s">
        <x:v>116</x:v>
      </x:c>
      <x:c r="D147" s="4" t="s">
        <x:v>280</x:v>
      </x:c>
      <x:c r="E147" s="4" t="s">
        <x:v>49</x:v>
      </x:c>
      <x:c r="F147" s="4">
        <x:v>2.0</x:v>
      </x:c>
      <x:c r="G147" s="4">
        <x:v>2.0</x:v>
      </x:c>
    </x:row>
    <x:row r="148" ht="15.75" customHeight="1">
      <x:c r="A148" s="4">
        <x:v>5603.0</x:v>
      </x:c>
      <x:c r="B148" s="4" t="s">
        <x:v>98</x:v>
      </x:c>
      <x:c r="C148" s="4" t="s">
        <x:v>103</x:v>
      </x:c>
      <x:c r="D148" s="4" t="s">
        <x:v>194</x:v>
      </x:c>
      <x:c r="E148" s="4" t="s">
        <x:v>29</x:v>
      </x:c>
      <x:c r="F148" s="4">
        <x:v>5.0</x:v>
      </x:c>
      <x:c r="G148" s="4">
        <x:v>5.0</x:v>
      </x:c>
    </x:row>
    <x:row r="149" ht="15.75" customHeight="1">
      <x:c r="A149" s="4">
        <x:v>6066.0</x:v>
      </x:c>
      <x:c r="B149" s="4" t="s">
        <x:v>98</x:v>
      </x:c>
      <x:c r="C149" s="4" t="s">
        <x:v>133</x:v>
      </x:c>
      <x:c r="D149" s="4" t="s">
        <x:v>210</x:v>
      </x:c>
      <x:c r="E149" s="4" t="s">
        <x:v>35</x:v>
      </x:c>
      <x:c r="F149" s="4">
        <x:v>4.0</x:v>
      </x:c>
      <x:c r="G149" s="4">
        <x:v>5.0</x:v>
      </x:c>
    </x:row>
    <x:row r="150" ht="15.75" customHeight="1">
      <x:c r="A150" s="4">
        <x:v>7012.0</x:v>
      </x:c>
      <x:c r="B150" s="4" t="s">
        <x:v>98</x:v>
      </x:c>
      <x:c r="C150" s="4" t="s">
        <x:v>103</x:v>
      </x:c>
      <x:c r="D150" s="4" t="s">
        <x:v>226</x:v>
      </x:c>
      <x:c r="E150" s="4" t="s">
        <x:v>31</x:v>
      </x:c>
      <x:c r="F150" s="4">
        <x:v>4.0</x:v>
      </x:c>
      <x:c r="G150" s="4">
        <x:v>3.0</x:v>
      </x:c>
    </x:row>
    <x:row r="151" ht="15.75" customHeight="1">
      <x:c r="A151" s="4">
        <x:v>6869.0</x:v>
      </x:c>
      <x:c r="B151" s="4" t="s">
        <x:v>98</x:v>
      </x:c>
      <x:c r="C151" s="4" t="s">
        <x:v>103</x:v>
      </x:c>
      <x:c r="D151" s="4" t="s">
        <x:v>204</x:v>
      </x:c>
      <x:c r="E151" s="4" t="s">
        <x:v>35</x:v>
      </x:c>
      <x:c r="F151" s="4">
        <x:v>5.0</x:v>
      </x:c>
      <x:c r="G151" s="4">
        <x:v>4.0</x:v>
      </x:c>
    </x:row>
    <x:row r="152" ht="15.75" customHeight="1">
      <x:c r="A152" s="4">
        <x:v>4378.0</x:v>
      </x:c>
      <x:c r="B152" s="4" t="s">
        <x:v>98</x:v>
      </x:c>
      <x:c r="C152" s="4" t="s">
        <x:v>124</x:v>
      </x:c>
      <x:c r="D152" s="4" t="s">
        <x:v>149</x:v>
      </x:c>
      <x:c r="E152" s="4" t="s">
        <x:v>29</x:v>
      </x:c>
      <x:c r="F152" s="4">
        <x:v>8.0</x:v>
      </x:c>
      <x:c r="G152" s="4">
        <x:v>7.0</x:v>
      </x:c>
    </x:row>
    <x:row r="153" ht="15.75" customHeight="1">
      <x:c r="A153" s="4">
        <x:v>6986.0</x:v>
      </x:c>
      <x:c r="B153" s="4" t="s">
        <x:v>98</x:v>
      </x:c>
      <x:c r="C153" s="4" t="s">
        <x:v>139</x:v>
      </x:c>
      <x:c r="D153" s="4" t="s">
        <x:v>237</x:v>
      </x:c>
      <x:c r="E153" s="4" t="s">
        <x:v>25</x:v>
      </x:c>
      <x:c r="F153" s="4">
        <x:v>4.0</x:v>
      </x:c>
      <x:c r="G153" s="4">
        <x:v>5.0</x:v>
      </x:c>
    </x:row>
    <x:row r="154" ht="15.75" customHeight="1">
      <x:c r="A154" s="4">
        <x:v>7268.0</x:v>
      </x:c>
      <x:c r="B154" s="4" t="s">
        <x:v>98</x:v>
      </x:c>
      <x:c r="C154" s="4" t="s">
        <x:v>124</x:v>
      </x:c>
      <x:c r="D154" s="4" t="s">
        <x:v>299</x:v>
      </x:c>
      <x:c r="E154" s="4" t="s">
        <x:v>39</x:v>
      </x:c>
      <x:c r="F154" s="4">
        <x:v>1.0</x:v>
      </x:c>
      <x:c r="G154" s="4">
        <x:v>1.0</x:v>
      </x:c>
    </x:row>
    <x:row r="155" ht="15.75" customHeight="1">
      <x:c r="A155" s="4">
        <x:v>2279.0</x:v>
      </x:c>
      <x:c r="B155" s="4" t="s">
        <x:v>98</x:v>
      </x:c>
      <x:c r="C155" s="4" t="s">
        <x:v>103</x:v>
      </x:c>
      <x:c r="D155" s="4" t="s">
        <x:v>238</x:v>
      </x:c>
      <x:c r="E155" s="4" t="s">
        <x:v>49</x:v>
      </x:c>
      <x:c r="F155" s="4">
        <x:v>4.0</x:v>
      </x:c>
      <x:c r="G155" s="4">
        <x:v>4.0</x:v>
      </x:c>
    </x:row>
    <x:row r="156" ht="15.75" customHeight="1">
      <x:c r="A156" s="4">
        <x:v>460.0</x:v>
      </x:c>
      <x:c r="B156" s="4" t="s">
        <x:v>98</x:v>
      </x:c>
      <x:c r="C156" s="4" t="s">
        <x:v>103</x:v>
      </x:c>
      <x:c r="D156" s="4" t="s">
        <x:v>165</x:v>
      </x:c>
      <x:c r="E156" s="4" t="s">
        <x:v>31</x:v>
      </x:c>
      <x:c r="F156" s="4">
        <x:v>7.0</x:v>
      </x:c>
      <x:c r="G156" s="4">
        <x:v>8.0</x:v>
      </x:c>
      <x:c r="L156" s="7">
        <x:v>1.0</x:v>
      </x:c>
    </x:row>
    <x:row r="157" ht="15.75" customHeight="1">
      <x:c r="A157" s="4">
        <x:v>6803.0</x:v>
      </x:c>
      <x:c r="B157" s="4" t="s">
        <x:v>98</x:v>
      </x:c>
      <x:c r="C157" s="4" t="s">
        <x:v>116</x:v>
      </x:c>
      <x:c r="D157" s="4" t="s">
        <x:v>288</x:v>
      </x:c>
      <x:c r="E157" s="4" t="s">
        <x:v>17</x:v>
      </x:c>
      <x:c r="F157" s="4">
        <x:v>1.0</x:v>
      </x:c>
      <x:c r="G157" s="4">
        <x:v>1.0</x:v>
      </x:c>
    </x:row>
    <x:row r="158" ht="15.75" customHeight="1">
      <x:c r="A158" s="4">
        <x:v>4409.0</x:v>
      </x:c>
      <x:c r="B158" s="4" t="s">
        <x:v>98</x:v>
      </x:c>
      <x:c r="C158" s="4" t="s">
        <x:v>103</x:v>
      </x:c>
      <x:c r="D158" s="4" t="s">
        <x:v>119</x:v>
      </x:c>
      <x:c r="E158" s="4" t="s">
        <x:v>23</x:v>
      </x:c>
      <x:c r="F158" s="4">
        <x:v>11.0</x:v>
      </x:c>
      <x:c r="G158" s="4">
        <x:v>11.0</x:v>
      </x:c>
      <x:c r="N158" s="7">
        <x:v>15.0</x:v>
      </x:c>
    </x:row>
    <x:row r="159" ht="15.75" customHeight="1">
      <x:c r="A159" s="4">
        <x:v>294.0</x:v>
      </x:c>
      <x:c r="B159" s="4" t="s">
        <x:v>98</x:v>
      </x:c>
      <x:c r="C159" s="4" t="s">
        <x:v>103</x:v>
      </x:c>
      <x:c r="D159" s="4" t="s">
        <x:v>258</x:v>
      </x:c>
      <x:c r="E159" s="4" t="s">
        <x:v>17</x:v>
      </x:c>
      <x:c r="F159" s="4">
        <x:v>3.0</x:v>
      </x:c>
      <x:c r="G159" s="4">
        <x:v>3.0</x:v>
      </x:c>
    </x:row>
    <x:row r="160" ht="15.75" customHeight="1">
      <x:c r="A160" s="4">
        <x:v>6900.0</x:v>
      </x:c>
      <x:c r="B160" s="4" t="s">
        <x:v>98</x:v>
      </x:c>
      <x:c r="C160" s="4" t="s">
        <x:v>99</x:v>
      </x:c>
      <x:c r="D160" s="4" t="s">
        <x:v>269</x:v>
      </x:c>
      <x:c r="E160" s="4" t="s">
        <x:v>51</x:v>
      </x:c>
      <x:c r="F160" s="4">
        <x:v>3.0</x:v>
      </x:c>
      <x:c r="G160" s="4">
        <x:v>3.0</x:v>
      </x:c>
    </x:row>
    <x:row r="161" ht="15.75" customHeight="1">
      <x:c r="A161" s="4">
        <x:v>791.0</x:v>
      </x:c>
      <x:c r="B161" s="4" t="s">
        <x:v>98</x:v>
      </x:c>
      <x:c r="C161" s="4" t="s">
        <x:v>154</x:v>
      </x:c>
      <x:c r="D161" s="4" t="s">
        <x:v>222</x:v>
      </x:c>
      <x:c r="E161" s="4" t="s">
        <x:v>37</x:v>
      </x:c>
      <x:c r="F161" s="4">
        <x:v>4.0</x:v>
      </x:c>
      <x:c r="G161" s="4">
        <x:v>5.0</x:v>
      </x:c>
    </x:row>
    <x:row r="162" ht="15.75" customHeight="1">
      <x:c r="A162" s="4">
        <x:v>5526.0</x:v>
      </x:c>
      <x:c r="B162" s="4" t="s">
        <x:v>98</x:v>
      </x:c>
      <x:c r="C162" s="4" t="s">
        <x:v>103</x:v>
      </x:c>
      <x:c r="D162" s="4" t="s">
        <x:v>143</x:v>
      </x:c>
      <x:c r="E162" s="4" t="s">
        <x:v>27</x:v>
      </x:c>
      <x:c r="F162" s="4">
        <x:v>8.0</x:v>
      </x:c>
      <x:c r="G162" s="4">
        <x:v>8.0</x:v>
      </x:c>
      <x:c r="N162" s="7">
        <x:v>5.0</x:v>
      </x:c>
    </x:row>
    <x:row r="163" ht="15.75" customHeight="1">
      <x:c r="A163" s="4">
        <x:v>6041.0</x:v>
      </x:c>
      <x:c r="B163" s="4" t="s">
        <x:v>98</x:v>
      </x:c>
      <x:c r="C163" s="4" t="s">
        <x:v>103</x:v>
      </x:c>
      <x:c r="D163" s="4" t="s">
        <x:v>267</x:v>
      </x:c>
      <x:c r="E163" s="4" t="s">
        <x:v>41</x:v>
      </x:c>
      <x:c r="F163" s="4">
        <x:v>3.0</x:v>
      </x:c>
      <x:c r="G163" s="4">
        <x:v>3.0</x:v>
      </x:c>
    </x:row>
    <x:row r="164" ht="15.75" customHeight="1">
      <x:c r="A164" s="4">
        <x:v>2847.0</x:v>
      </x:c>
      <x:c r="B164" s="4" t="s">
        <x:v>98</x:v>
      </x:c>
      <x:c r="C164" s="4" t="s">
        <x:v>154</x:v>
      </x:c>
      <x:c r="D164" s="4" t="s">
        <x:v>287</x:v>
      </x:c>
      <x:c r="E164" s="4" t="s">
        <x:v>47</x:v>
      </x:c>
      <x:c r="F164" s="4">
        <x:v>1.0</x:v>
      </x:c>
      <x:c r="G164" s="4">
        <x:v>1.0</x:v>
      </x:c>
    </x:row>
    <x:row r="165" ht="15.75" customHeight="1">
      <x:c r="A165" s="4">
        <x:v>7240.0</x:v>
      </x:c>
      <x:c r="B165" s="4" t="s">
        <x:v>98</x:v>
      </x:c>
      <x:c r="C165" s="4" t="s">
        <x:v>103</x:v>
      </x:c>
      <x:c r="D165" s="4" t="s">
        <x:v>249</x:v>
      </x:c>
      <x:c r="E165" s="4" t="s">
        <x:v>43</x:v>
      </x:c>
      <x:c r="F165" s="4">
        <x:v>4.0</x:v>
      </x:c>
      <x:c r="G165" s="4">
        <x:v>5.0</x:v>
      </x:c>
    </x:row>
    <x:row r="166" ht="15.75" customHeight="1">
      <x:c r="A166" s="4">
        <x:v>7011.0</x:v>
      </x:c>
      <x:c r="B166" s="4" t="s">
        <x:v>98</x:v>
      </x:c>
      <x:c r="C166" s="4" t="s">
        <x:v>103</x:v>
      </x:c>
      <x:c r="D166" s="4" t="s">
        <x:v>282</x:v>
      </x:c>
      <x:c r="E166" s="4" t="s">
        <x:v>57</x:v>
      </x:c>
      <x:c r="F166" s="4">
        <x:v>2.0</x:v>
      </x:c>
      <x:c r="G166" s="4">
        <x:v>2.0</x:v>
      </x:c>
    </x:row>
    <x:row r="167" ht="15.75" customHeight="1">
      <x:c r="A167" s="4">
        <x:v>7014.0</x:v>
      </x:c>
      <x:c r="B167" s="4" t="s">
        <x:v>98</x:v>
      </x:c>
      <x:c r="C167" s="4" t="s">
        <x:v>133</x:v>
      </x:c>
      <x:c r="D167" s="4" t="s">
        <x:v>276</x:v>
      </x:c>
      <x:c r="E167" s="4" t="s">
        <x:v>35</x:v>
      </x:c>
      <x:c r="F167" s="4">
        <x:v>2.0</x:v>
      </x:c>
      <x:c r="G167" s="4">
        <x:v>2.0</x:v>
      </x:c>
    </x:row>
    <x:row r="168" ht="15.75" customHeight="1">
      <x:c r="A168" s="4">
        <x:v>6956.0</x:v>
      </x:c>
      <x:c r="B168" s="4" t="s">
        <x:v>98</x:v>
      </x:c>
      <x:c r="C168" s="4" t="s">
        <x:v>103</x:v>
      </x:c>
      <x:c r="D168" s="4" t="s">
        <x:v>122</x:v>
      </x:c>
      <x:c r="E168" s="4" t="s">
        <x:v>51</x:v>
      </x:c>
      <x:c r="F168" s="4">
        <x:v>11.0</x:v>
      </x:c>
      <x:c r="G168" s="4">
        <x:v>11.0</x:v>
      </x:c>
      <x:c r="I168" s="7">
        <x:v>21.0</x:v>
      </x:c>
    </x:row>
    <x:row r="169" ht="15.75" customHeight="1">
      <x:c r="A169" s="4">
        <x:v>1852.0</x:v>
      </x:c>
      <x:c r="B169" s="4" t="s">
        <x:v>98</x:v>
      </x:c>
      <x:c r="C169" s="4" t="s">
        <x:v>116</x:v>
      </x:c>
      <x:c r="D169" s="4" t="s">
        <x:v>167</x:v>
      </x:c>
      <x:c r="E169" s="4" t="s">
        <x:v>23</x:v>
      </x:c>
      <x:c r="F169" s="4">
        <x:v>7.0</x:v>
      </x:c>
      <x:c r="G169" s="4">
        <x:v>7.0</x:v>
      </x:c>
    </x:row>
    <x:row r="170" ht="15.75" customHeight="1">
      <x:c r="A170" s="4">
        <x:v>5620.0</x:v>
      </x:c>
      <x:c r="B170" s="4" t="s">
        <x:v>98</x:v>
      </x:c>
      <x:c r="C170" s="4" t="s">
        <x:v>116</x:v>
      </x:c>
      <x:c r="D170" s="4" t="s">
        <x:v>117</x:v>
      </x:c>
      <x:c r="E170" s="4" t="s">
        <x:v>31</x:v>
      </x:c>
      <x:c r="F170" s="4">
        <x:v>12.0</x:v>
      </x:c>
      <x:c r="G170" s="4">
        <x:v>12.0</x:v>
      </x:c>
      <x:c r="M170" s="7">
        <x:v>20.0</x:v>
      </x:c>
    </x:row>
    <x:row r="171" ht="15.75" customHeight="1">
      <x:c r="A171" s="4">
        <x:v>5812.0</x:v>
      </x:c>
      <x:c r="B171" s="4" t="s">
        <x:v>98</x:v>
      </x:c>
      <x:c r="C171" s="4" t="s">
        <x:v>154</x:v>
      </x:c>
      <x:c r="D171" s="4" t="s">
        <x:v>196</x:v>
      </x:c>
      <x:c r="E171" s="4" t="s">
        <x:v>47</x:v>
      </x:c>
      <x:c r="F171" s="4">
        <x:v>5.0</x:v>
      </x:c>
      <x:c r="G171" s="4">
        <x:v>2.0</x:v>
      </x:c>
    </x:row>
    <x:row r="172" ht="15.75" customHeight="1">
      <x:c r="A172" s="4">
        <x:v>6989.0</x:v>
      </x:c>
      <x:c r="B172" s="4" t="s">
        <x:v>98</x:v>
      </x:c>
      <x:c r="C172" s="4" t="s">
        <x:v>103</x:v>
      </x:c>
      <x:c r="D172" s="4" t="s">
        <x:v>278</x:v>
      </x:c>
      <x:c r="E172" s="4" t="s">
        <x:v>43</x:v>
      </x:c>
      <x:c r="F172" s="4">
        <x:v>2.0</x:v>
      </x:c>
      <x:c r="G172" s="4">
        <x:v>1.0</x:v>
      </x:c>
    </x:row>
    <x:row r="173" ht="15.75" customHeight="1">
      <x:c r="A173" s="4">
        <x:v>4751.0</x:v>
      </x:c>
      <x:c r="B173" s="4" t="s">
        <x:v>98</x:v>
      </x:c>
      <x:c r="C173" s="4" t="s">
        <x:v>103</x:v>
      </x:c>
      <x:c r="D173" s="4" t="s">
        <x:v>157</x:v>
      </x:c>
      <x:c r="E173" s="4" t="s">
        <x:v>21</x:v>
      </x:c>
      <x:c r="F173" s="4">
        <x:v>8.0</x:v>
      </x:c>
      <x:c r="G173" s="4">
        <x:v>8.0</x:v>
      </x:c>
      <x:c r="N173" s="7">
        <x:v>9.0</x:v>
      </x:c>
    </x:row>
    <x:row r="174" ht="15.75" customHeight="1">
      <x:c r="A174" s="4">
        <x:v>7235.0</x:v>
      </x:c>
      <x:c r="B174" s="4" t="s">
        <x:v>98</x:v>
      </x:c>
      <x:c r="C174" s="4" t="s">
        <x:v>103</x:v>
      </x:c>
      <x:c r="D174" s="4" t="s">
        <x:v>190</x:v>
      </x:c>
      <x:c r="E174" s="4" t="s">
        <x:v>45</x:v>
      </x:c>
      <x:c r="F174" s="4">
        <x:v>6.0</x:v>
      </x:c>
      <x:c r="G174" s="4">
        <x:v>6.0</x:v>
      </x:c>
    </x:row>
    <x:row r="175" ht="15.75" customHeight="1">
      <x:c r="A175" s="4">
        <x:v>5168.0</x:v>
      </x:c>
      <x:c r="B175" s="4" t="s">
        <x:v>98</x:v>
      </x:c>
      <x:c r="C175" s="4" t="s">
        <x:v>116</x:v>
      </x:c>
      <x:c r="D175" s="4" t="s">
        <x:v>250</x:v>
      </x:c>
      <x:c r="E175" s="4" t="s">
        <x:v>25</x:v>
      </x:c>
      <x:c r="F175" s="4">
        <x:v>4.0</x:v>
      </x:c>
      <x:c r="G175" s="4">
        <x:v>4.0</x:v>
      </x:c>
      <x:c r="J175" s="7">
        <x:v>1.0</x:v>
      </x:c>
    </x:row>
    <x:row r="176" ht="15.75" customHeight="1">
      <x:c r="A176" s="4">
        <x:v>6894.0</x:v>
      </x:c>
      <x:c r="B176" s="4" t="s">
        <x:v>98</x:v>
      </x:c>
      <x:c r="C176" s="4" t="s">
        <x:v>103</x:v>
      </x:c>
      <x:c r="D176" s="4" t="s">
        <x:v>202</x:v>
      </x:c>
      <x:c r="E176" s="4" t="s">
        <x:v>57</x:v>
      </x:c>
      <x:c r="F176" s="4">
        <x:v>5.0</x:v>
      </x:c>
      <x:c r="G176" s="4">
        <x:v>5.0</x:v>
      </x:c>
    </x:row>
    <x:row r="177" ht="15.75" customHeight="1">
      <x:c r="A177" s="4">
        <x:v>5307.0</x:v>
      </x:c>
      <x:c r="B177" s="4" t="s">
        <x:v>98</x:v>
      </x:c>
      <x:c r="C177" s="4" t="s">
        <x:v>103</x:v>
      </x:c>
      <x:c r="D177" s="4" t="s">
        <x:v>232</x:v>
      </x:c>
      <x:c r="E177" s="4" t="s">
        <x:v>45</x:v>
      </x:c>
      <x:c r="F177" s="4">
        <x:v>4.0</x:v>
      </x:c>
      <x:c r="G177" s="4">
        <x:v>4.0</x:v>
      </x:c>
    </x:row>
    <x:row r="178" ht="15.75" customHeight="1">
      <x:c r="A178" s="4">
        <x:v>6957.0</x:v>
      </x:c>
      <x:c r="B178" s="4" t="s">
        <x:v>98</x:v>
      </x:c>
      <x:c r="C178" s="4" t="s">
        <x:v>103</x:v>
      </x:c>
      <x:c r="D178" s="4" t="s">
        <x:v>242</x:v>
      </x:c>
      <x:c r="E178" s="4" t="s">
        <x:v>57</x:v>
      </x:c>
      <x:c r="F178" s="4">
        <x:v>4.0</x:v>
      </x:c>
      <x:c r="G178" s="4">
        <x:v>4.0</x:v>
      </x:c>
    </x:row>
    <x:row r="179" ht="15.75" customHeight="1">
      <x:c r="A179" s="4">
        <x:v>5862.0</x:v>
      </x:c>
      <x:c r="B179" s="4" t="s">
        <x:v>98</x:v>
      </x:c>
      <x:c r="C179" s="4" t="s">
        <x:v>116</x:v>
      </x:c>
      <x:c r="D179" s="4" t="s">
        <x:v>130</x:v>
      </x:c>
      <x:c r="E179" s="4" t="s">
        <x:v>45</x:v>
      </x:c>
      <x:c r="F179" s="4">
        <x:v>10.0</x:v>
      </x:c>
      <x:c r="G179" s="4">
        <x:v>10.0</x:v>
      </x:c>
      <x:c r="I179" s="7">
        <x:v>8.0</x:v>
      </x:c>
    </x:row>
    <x:row r="180" ht="15.75" customHeight="1">
      <x:c r="A180" s="4">
        <x:v>6867.0</x:v>
      </x:c>
      <x:c r="B180" s="4" t="s">
        <x:v>98</x:v>
      </x:c>
      <x:c r="C180" s="4" t="s">
        <x:v>116</x:v>
      </x:c>
      <x:c r="D180" s="4" t="s">
        <x:v>179</x:v>
      </x:c>
      <x:c r="E180" s="4" t="s">
        <x:v>35</x:v>
      </x:c>
      <x:c r="F180" s="4">
        <x:v>6.0</x:v>
      </x:c>
      <x:c r="G180" s="4">
        <x:v>6.0</x:v>
      </x:c>
      <x:c r="O180" s="7">
        <x:v>1.0</x:v>
      </x:c>
    </x:row>
    <x:row r="181" ht="15.75" customHeight="1">
      <x:c r="A181" s="4">
        <x:v>6896.0</x:v>
      </x:c>
      <x:c r="B181" s="4" t="s">
        <x:v>98</x:v>
      </x:c>
      <x:c r="C181" s="4" t="s">
        <x:v>109</x:v>
      </x:c>
      <x:c r="D181" s="4" t="s">
        <x:v>215</x:v>
      </x:c>
      <x:c r="E181" s="4" t="s">
        <x:v>35</x:v>
      </x:c>
      <x:c r="F181" s="4">
        <x:v>4.0</x:v>
      </x:c>
      <x:c r="G181" s="4">
        <x:v>4.0</x:v>
      </x:c>
    </x:row>
    <x:row r="182" ht="15.75" customHeight="1">
      <x:c r="A182" s="4">
        <x:v>5514.0</x:v>
      </x:c>
      <x:c r="B182" s="4" t="s">
        <x:v>98</x:v>
      </x:c>
      <x:c r="C182" s="4" t="s">
        <x:v>124</x:v>
      </x:c>
      <x:c r="D182" s="4" t="s">
        <x:v>125</x:v>
      </x:c>
      <x:c r="E182" s="4" t="s">
        <x:v>37</x:v>
      </x:c>
      <x:c r="F182" s="4">
        <x:v>10.0</x:v>
      </x:c>
      <x:c r="G182" s="4">
        <x:v>9.0</x:v>
      </x:c>
      <x:c r="M182" s="7">
        <x:v>6.0</x:v>
      </x:c>
    </x:row>
    <x:row r="183" ht="15.75" customHeight="1">
      <x:c r="A183" s="4">
        <x:v>6990.0</x:v>
      </x:c>
      <x:c r="B183" s="4" t="s">
        <x:v>98</x:v>
      </x:c>
      <x:c r="C183" s="4" t="s">
        <x:v>109</x:v>
      </x:c>
      <x:c r="D183" s="4" t="s">
        <x:v>279</x:v>
      </x:c>
      <x:c r="E183" s="4" t="s">
        <x:v>43</x:v>
      </x:c>
      <x:c r="F183" s="4">
        <x:v>2.0</x:v>
      </x:c>
      <x:c r="G183" s="4">
        <x:v>1.0</x:v>
      </x:c>
    </x:row>
    <x:row r="184" ht="15.75" customHeight="1">
      <x:c r="A184" s="4">
        <x:v>5718.0</x:v>
      </x:c>
      <x:c r="B184" s="4" t="s">
        <x:v>98</x:v>
      </x:c>
      <x:c r="C184" s="4" t="s">
        <x:v>103</x:v>
      </x:c>
      <x:c r="D184" s="4" t="s">
        <x:v>219</x:v>
      </x:c>
      <x:c r="E184" s="4" t="s">
        <x:v>29</x:v>
      </x:c>
      <x:c r="F184" s="4">
        <x:v>4.0</x:v>
      </x:c>
      <x:c r="G184" s="4">
        <x:v>4.0</x:v>
      </x:c>
    </x:row>
    <x:row r="185" ht="15.75" customHeight="1">
      <x:c r="A185" s="4">
        <x:v>7068.0</x:v>
      </x:c>
      <x:c r="B185" s="4" t="s">
        <x:v>98</x:v>
      </x:c>
      <x:c r="C185" s="4" t="s">
        <x:v>103</x:v>
      </x:c>
      <x:c r="D185" s="4" t="s">
        <x:v>146</x:v>
      </x:c>
      <x:c r="E185" s="4" t="s">
        <x:v>33</x:v>
      </x:c>
      <x:c r="F185" s="4">
        <x:v>8.0</x:v>
      </x:c>
      <x:c r="G185" s="4">
        <x:v>8.0</x:v>
      </x:c>
    </x:row>
    <x:row r="186" ht="15.75" customHeight="1">
      <x:c r="A186" s="4">
        <x:v>4994.0</x:v>
      </x:c>
      <x:c r="B186" s="4" t="s">
        <x:v>98</x:v>
      </x:c>
      <x:c r="C186" s="4" t="s">
        <x:v>109</x:v>
      </x:c>
      <x:c r="D186" s="4" t="s">
        <x:v>162</x:v>
      </x:c>
      <x:c r="E186" s="4" t="s">
        <x:v>35</x:v>
      </x:c>
      <x:c r="F186" s="4">
        <x:v>7.0</x:v>
      </x:c>
      <x:c r="G186" s="4">
        <x:v>6.0</x:v>
      </x:c>
      <x:c r="M186" s="7">
        <x:v>2.0</x:v>
      </x:c>
    </x:row>
    <x:row r="187" ht="15.75" customHeight="1">
      <x:c r="A187" s="4">
        <x:v>4374.0</x:v>
      </x:c>
      <x:c r="B187" s="4" t="s">
        <x:v>98</x:v>
      </x:c>
      <x:c r="C187" s="4" t="s">
        <x:v>133</x:v>
      </x:c>
      <x:c r="D187" s="4" t="s">
        <x:v>200</x:v>
      </x:c>
      <x:c r="E187" s="4" t="s">
        <x:v>49</x:v>
      </x:c>
      <x:c r="F187" s="4">
        <x:v>5.0</x:v>
      </x:c>
      <x:c r="G187" s="4">
        <x:v>5.0</x:v>
      </x:c>
    </x:row>
    <x:row r="188" ht="15.75" customHeight="1">
      <x:c r="A188" s="4">
        <x:v>7181.0</x:v>
      </x:c>
      <x:c r="B188" s="4" t="s">
        <x:v>98</x:v>
      </x:c>
      <x:c r="C188" s="4" t="s">
        <x:v>99</x:v>
      </x:c>
      <x:c r="D188" s="4" t="s">
        <x:v>107</x:v>
      </x:c>
      <x:c r="E188" s="4" t="s">
        <x:v>25</x:v>
      </x:c>
      <x:c r="F188" s="4">
        <x:v>15.0</x:v>
      </x:c>
      <x:c r="G188" s="4">
        <x:v>14.0</x:v>
      </x:c>
      <x:c r="I188" s="7">
        <x:v>27.0</x:v>
      </x:c>
    </x:row>
    <x:row r="189" ht="15.75" customHeight="1">
      <x:c r="A189" s="4">
        <x:v>5527.0</x:v>
      </x:c>
      <x:c r="B189" s="4" t="s">
        <x:v>98</x:v>
      </x:c>
      <x:c r="C189" s="4" t="s">
        <x:v>109</x:v>
      </x:c>
      <x:c r="D189" s="4" t="s">
        <x:v>263</x:v>
      </x:c>
      <x:c r="E189" s="4" t="s">
        <x:v>51</x:v>
      </x:c>
      <x:c r="F189" s="4">
        <x:v>3.0</x:v>
      </x:c>
      <x:c r="G189" s="4">
        <x:v>3.0</x:v>
      </x:c>
    </x:row>
    <x:row r="190" ht="15.75" customHeight="1">
      <x:c r="A190" s="4">
        <x:v>4461.0</x:v>
      </x:c>
      <x:c r="B190" s="4" t="s">
        <x:v>98</x:v>
      </x:c>
      <x:c r="C190" s="4" t="s">
        <x:v>139</x:v>
      </x:c>
      <x:c r="D190" s="4" t="s">
        <x:v>177</x:v>
      </x:c>
      <x:c r="E190" s="4" t="s">
        <x:v>39</x:v>
      </x:c>
      <x:c r="F190" s="4">
        <x:v>6.0</x:v>
      </x:c>
      <x:c r="G190" s="4">
        <x:v>6.0</x:v>
      </x:c>
    </x:row>
    <x:row r="191" ht="15.75" customHeight="1">
      <x:c r="A191" s="4">
        <x:v>554.0</x:v>
      </x:c>
      <x:c r="B191" s="4" t="s">
        <x:v>98</x:v>
      </x:c>
      <x:c r="C191" s="4" t="s">
        <x:v>99</x:v>
      </x:c>
      <x:c r="D191" s="4" t="s">
        <x:v>112</x:v>
      </x:c>
      <x:c r="E191" s="4" t="s">
        <x:v>27</x:v>
      </x:c>
      <x:c r="F191" s="4">
        <x:v>13.0</x:v>
      </x:c>
      <x:c r="G191" s="4">
        <x:v>13.0</x:v>
      </x:c>
      <x:c r="O191" s="7">
        <x:v>8.0</x:v>
      </x:c>
    </x:row>
    <x:row r="192" ht="15.75" customHeight="1">
      <x:c r="A192" s="4">
        <x:v>7274.0</x:v>
      </x:c>
      <x:c r="B192" s="4" t="s">
        <x:v>98</x:v>
      </x:c>
      <x:c r="C192" s="4" t="s">
        <x:v>103</x:v>
      </x:c>
      <x:c r="D192" s="4" t="s">
        <x:v>253</x:v>
      </x:c>
      <x:c r="E192" s="4" t="s">
        <x:v>39</x:v>
      </x:c>
      <x:c r="F192" s="4">
        <x:v>4.0</x:v>
      </x:c>
      <x:c r="G192" s="4">
        <x:v>4.0</x:v>
      </x:c>
    </x:row>
    <x:row r="193" ht="15.75" customHeight="1">
      <x:c r="A193" s="4">
        <x:v>6211.0</x:v>
      </x:c>
      <x:c r="B193" s="4" t="s">
        <x:v>98</x:v>
      </x:c>
      <x:c r="C193" s="4" t="s">
        <x:v>116</x:v>
      </x:c>
      <x:c r="D193" s="4" t="s">
        <x:v>240</x:v>
      </x:c>
      <x:c r="E193" s="4" t="s">
        <x:v>51</x:v>
      </x:c>
      <x:c r="F193" s="4">
        <x:v>4.0</x:v>
      </x:c>
      <x:c r="G193" s="4">
        <x:v>3.0</x:v>
      </x:c>
      <x:c r="J193" s="7">
        <x:v>1.0</x:v>
      </x:c>
    </x:row>
    <x:row r="194" ht="15.75" customHeight="1">
      <x:c r="A194" s="4">
        <x:v>7260.0</x:v>
      </x:c>
      <x:c r="B194" s="4" t="s">
        <x:v>98</x:v>
      </x:c>
      <x:c r="C194" s="4" t="s">
        <x:v>103</x:v>
      </x:c>
      <x:c r="D194" s="4" t="s">
        <x:v>271</x:v>
      </x:c>
      <x:c r="E194" s="4" t="s">
        <x:v>25</x:v>
      </x:c>
      <x:c r="F194" s="4">
        <x:v>3.0</x:v>
      </x:c>
      <x:c r="G194" s="4">
        <x:v>3.0</x:v>
      </x:c>
    </x:row>
    <x:row r="195" ht="15.75" customHeight="1">
      <x:c r="A195" s="4">
        <x:v>4433.0</x:v>
      </x:c>
      <x:c r="B195" s="4" t="s">
        <x:v>98</x:v>
      </x:c>
      <x:c r="C195" s="4" t="s">
        <x:v>99</x:v>
      </x:c>
      <x:c r="D195" s="4" t="s">
        <x:v>105</x:v>
      </x:c>
      <x:c r="E195" s="4" t="s">
        <x:v>33</x:v>
      </x:c>
      <x:c r="F195" s="4">
        <x:v>16.0</x:v>
      </x:c>
      <x:c r="G195" s="4">
        <x:v>16.0</x:v>
      </x:c>
      <x:c r="H195" s="7">
        <x:v>20.0</x:v>
      </x:c>
    </x:row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8" width="6" customWidth="1"/>
    <x:col min="9" max="9" width="10.289999961853027" customWidth="1"/>
    <x:col min="10" max="10" width="9.289999961853027" customWidth="1"/>
    <x:col min="11" max="11" width="6.429999828338623" customWidth="1"/>
    <x:col min="12" max="12" width="9.569999694824219" customWidth="1"/>
    <x:col min="13" max="13" width="10.140000343322754" customWidth="1"/>
    <x:col min="14" max="14" width="8.569999694824219" customWidth="1"/>
    <x:col min="15" max="15" width="9.430000305175781" customWidth="1"/>
    <x:col min="16" max="20" width="8.710000038146973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3"/>
      <x:c r="H1" s="4" t="n">
        <x:f t="shared" ref="H1:O1" si="1">COUNTA(H3:H184)</x:f>
        <x:v>8</x:v>
      </x:c>
      <x:c r="I1" s="4">
        <x:f t="shared" si="1"/>
        <x:v>8</x:v>
      </x:c>
      <x:c r="J1" s="4">
        <x:f t="shared" si="1"/>
        <x:v>8</x:v>
      </x:c>
      <x:c r="K1" s="4">
        <x:f t="shared" si="1"/>
        <x:v>8</x:v>
      </x:c>
      <x:c r="L1" s="4">
        <x:f t="shared" si="1"/>
        <x:v>8</x:v>
      </x:c>
      <x:c r="M1" s="4">
        <x:f t="shared" si="1"/>
        <x:v>8</x:v>
      </x:c>
      <x:c r="N1" s="4">
        <x:f t="shared" si="1"/>
        <x:v>8</x:v>
      </x:c>
      <x:c r="O1" s="4">
        <x:f t="shared" si="1"/>
        <x:v>8</x:v>
      </x:c>
    </x:row>
    <x:row r="2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5" t="s">
        <x:v>598</x:v>
      </x:c>
      <x:c r="I2" s="5" t="s">
        <x:v>599</x:v>
      </x:c>
      <x:c r="J2" s="5" t="s">
        <x:v>600</x:v>
      </x:c>
      <x:c r="K2" s="6" t="s">
        <x:v>601</x:v>
      </x:c>
      <x:c r="L2" s="5" t="s">
        <x:v>602</x:v>
      </x:c>
      <x:c r="M2" s="5" t="s">
        <x:v>603</x:v>
      </x:c>
      <x:c r="N2" s="5" t="s">
        <x:v>604</x:v>
      </x:c>
      <x:c r="O2" s="5" t="s">
        <x:v>605</x:v>
      </x:c>
    </x:row>
    <x:row r="3">
      <x:c r="A3" s="4">
        <x:v>4870.0</x:v>
      </x:c>
      <x:c r="B3" s="4" t="s">
        <x:v>301</x:v>
      </x:c>
      <x:c r="C3" s="4" t="s">
        <x:v>313</x:v>
      </x:c>
      <x:c r="D3" s="4" t="s">
        <x:v>415</x:v>
      </x:c>
      <x:c r="E3" s="4" t="s">
        <x:v>39</x:v>
      </x:c>
      <x:c r="F3" s="4">
        <x:v>6.0</x:v>
      </x:c>
      <x:c r="G3" s="4">
        <x:v>5.0</x:v>
      </x:c>
    </x:row>
    <x:row r="4">
      <x:c r="A4" s="4">
        <x:v>6677.0</x:v>
      </x:c>
      <x:c r="B4" s="4" t="s">
        <x:v>301</x:v>
      </x:c>
      <x:c r="C4" s="4" t="s">
        <x:v>307</x:v>
      </x:c>
      <x:c r="D4" s="4" t="s">
        <x:v>491</x:v>
      </x:c>
      <x:c r="E4" s="4" t="s">
        <x:v>17</x:v>
      </x:c>
      <x:c r="F4" s="4">
        <x:v>1.0</x:v>
      </x:c>
      <x:c r="G4" s="4">
        <x:v>1.0</x:v>
      </x:c>
    </x:row>
    <x:row r="5">
      <x:c r="A5" s="4">
        <x:v>5784.0</x:v>
      </x:c>
      <x:c r="B5" s="4" t="s">
        <x:v>301</x:v>
      </x:c>
      <x:c r="C5" s="4" t="s">
        <x:v>301</x:v>
      </x:c>
      <x:c r="D5" s="4" t="s">
        <x:v>450</x:v>
      </x:c>
      <x:c r="E5" s="4" t="s">
        <x:v>55</x:v>
      </x:c>
      <x:c r="F5" s="4">
        <x:v>4.0</x:v>
      </x:c>
      <x:c r="G5" s="4">
        <x:v>4.0</x:v>
      </x:c>
    </x:row>
    <x:row r="6">
      <x:c r="A6" s="4">
        <x:v>6593.0</x:v>
      </x:c>
      <x:c r="B6" s="4" t="s">
        <x:v>301</x:v>
      </x:c>
      <x:c r="C6" s="4" t="s">
        <x:v>307</x:v>
      </x:c>
      <x:c r="D6" s="4" t="s">
        <x:v>473</x:v>
      </x:c>
      <x:c r="E6" s="4" t="s">
        <x:v>55</x:v>
      </x:c>
      <x:c r="F6" s="4">
        <x:v>3.0</x:v>
      </x:c>
      <x:c r="G6" s="4">
        <x:v>3.0</x:v>
      </x:c>
    </x:row>
    <x:row r="7">
      <x:c r="A7" s="4">
        <x:v>5286.0</x:v>
      </x:c>
      <x:c r="B7" s="4" t="s">
        <x:v>301</x:v>
      </x:c>
      <x:c r="C7" s="4" t="s">
        <x:v>313</x:v>
      </x:c>
      <x:c r="D7" s="4" t="s">
        <x:v>495</x:v>
      </x:c>
      <x:c r="E7" s="4" t="s">
        <x:v>57</x:v>
      </x:c>
      <x:c r="F7" s="4">
        <x:v>1.0</x:v>
      </x:c>
      <x:c r="G7" s="4">
        <x:v>1.0</x:v>
      </x:c>
    </x:row>
    <x:row r="8">
      <x:c r="A8" s="4">
        <x:v>7010.0</x:v>
      </x:c>
      <x:c r="B8" s="4" t="s">
        <x:v>301</x:v>
      </x:c>
      <x:c r="C8" s="4" t="s">
        <x:v>313</x:v>
      </x:c>
      <x:c r="D8" s="4" t="s">
        <x:v>466</x:v>
      </x:c>
      <x:c r="E8" s="4" t="s">
        <x:v>57</x:v>
      </x:c>
      <x:c r="F8" s="4">
        <x:v>4.0</x:v>
      </x:c>
      <x:c r="G8" s="4">
        <x:v>4.0</x:v>
      </x:c>
    </x:row>
    <x:row r="9">
      <x:c r="A9" s="4">
        <x:v>6889.0</x:v>
      </x:c>
      <x:c r="B9" s="4" t="s">
        <x:v>301</x:v>
      </x:c>
      <x:c r="C9" s="4" t="s">
        <x:v>307</x:v>
      </x:c>
      <x:c r="D9" s="4" t="s">
        <x:v>383</x:v>
      </x:c>
      <x:c r="E9" s="4" t="s">
        <x:v>41</x:v>
      </x:c>
      <x:c r="F9" s="4">
        <x:v>9.0</x:v>
      </x:c>
      <x:c r="G9" s="4">
        <x:v>10.0</x:v>
      </x:c>
    </x:row>
    <x:row r="10">
      <x:c r="A10" s="4">
        <x:v>5719.0</x:v>
      </x:c>
      <x:c r="B10" s="4" t="s">
        <x:v>301</x:v>
      </x:c>
      <x:c r="C10" s="4" t="s">
        <x:v>313</x:v>
      </x:c>
      <x:c r="D10" s="4" t="s">
        <x:v>455</x:v>
      </x:c>
      <x:c r="E10" s="4" t="s">
        <x:v>41</x:v>
      </x:c>
      <x:c r="F10" s="4">
        <x:v>4.0</x:v>
      </x:c>
      <x:c r="G10" s="4">
        <x:v>4.0</x:v>
      </x:c>
    </x:row>
    <x:row r="11">
      <x:c r="A11" s="4">
        <x:v>6908.0</x:v>
      </x:c>
      <x:c r="B11" s="4" t="s">
        <x:v>301</x:v>
      </x:c>
      <x:c r="C11" s="4" t="s">
        <x:v>301</x:v>
      </x:c>
      <x:c r="D11" s="4" t="s">
        <x:v>397</x:v>
      </x:c>
      <x:c r="E11" s="4" t="s">
        <x:v>51</x:v>
      </x:c>
      <x:c r="F11" s="4">
        <x:v>8.0</x:v>
      </x:c>
      <x:c r="G11" s="4">
        <x:v>6.0</x:v>
      </x:c>
      <x:c r="I11" s="7">
        <x:v>27.0</x:v>
      </x:c>
    </x:row>
    <x:row r="12">
      <x:c r="A12" s="4">
        <x:v>2670.0</x:v>
      </x:c>
      <x:c r="B12" s="4" t="s">
        <x:v>301</x:v>
      </x:c>
      <x:c r="C12" s="4" t="s">
        <x:v>302</x:v>
      </x:c>
      <x:c r="D12" s="4" t="s">
        <x:v>324</x:v>
      </x:c>
      <x:c r="E12" s="4" t="s">
        <x:v>25</x:v>
      </x:c>
      <x:c r="F12" s="4">
        <x:v>15.0</x:v>
      </x:c>
      <x:c r="G12" s="4">
        <x:v>16.0</x:v>
      </x:c>
      <x:c r="I12" s="7">
        <x:v>15.0</x:v>
      </x:c>
    </x:row>
    <x:row r="13">
      <x:c r="A13" s="4">
        <x:v>5823.0</x:v>
      </x:c>
      <x:c r="B13" s="4" t="s">
        <x:v>301</x:v>
      </x:c>
      <x:c r="C13" s="4" t="s">
        <x:v>304</x:v>
      </x:c>
      <x:c r="D13" s="4" t="s">
        <x:v>408</x:v>
      </x:c>
      <x:c r="E13" s="4" t="s">
        <x:v>25</x:v>
      </x:c>
      <x:c r="F13" s="4">
        <x:v>7.0</x:v>
      </x:c>
      <x:c r="G13" s="4">
        <x:v>8.0</x:v>
      </x:c>
    </x:row>
    <x:row r="14">
      <x:c r="A14" s="4">
        <x:v>1870.0</x:v>
      </x:c>
      <x:c r="B14" s="4" t="s">
        <x:v>301</x:v>
      </x:c>
      <x:c r="C14" s="4" t="s">
        <x:v>301</x:v>
      </x:c>
      <x:c r="D14" s="4" t="s">
        <x:v>326</x:v>
      </x:c>
      <x:c r="E14" s="4" t="s">
        <x:v>19</x:v>
      </x:c>
      <x:c r="F14" s="4">
        <x:v>14.0</x:v>
      </x:c>
      <x:c r="G14" s="4">
        <x:v>14.0</x:v>
      </x:c>
      <x:c r="K14" s="7">
        <x:v>30.0</x:v>
      </x:c>
    </x:row>
    <x:row r="15">
      <x:c r="A15" s="4">
        <x:v>5674.0</x:v>
      </x:c>
      <x:c r="B15" s="4" t="s">
        <x:v>301</x:v>
      </x:c>
      <x:c r="C15" s="4" t="s">
        <x:v>301</x:v>
      </x:c>
      <x:c r="D15" s="4" t="s">
        <x:v>486</x:v>
      </x:c>
      <x:c r="E15" s="4" t="s">
        <x:v>31</x:v>
      </x:c>
      <x:c r="F15" s="4">
        <x:v>1.0</x:v>
      </x:c>
      <x:c r="G15" s="4">
        <x:v>1.0</x:v>
      </x:c>
    </x:row>
    <x:row r="16">
      <x:c r="A16" s="4">
        <x:v>7126.0</x:v>
      </x:c>
      <x:c r="B16" s="4" t="s">
        <x:v>301</x:v>
      </x:c>
      <x:c r="C16" s="4" t="s">
        <x:v>310</x:v>
      </x:c>
      <x:c r="D16" s="4" t="s">
        <x:v>390</x:v>
      </x:c>
      <x:c r="E16" s="4" t="s">
        <x:v>35</x:v>
      </x:c>
      <x:c r="F16" s="4">
        <x:v>8.0</x:v>
      </x:c>
      <x:c r="G16" s="4">
        <x:v>9.0</x:v>
      </x:c>
    </x:row>
    <x:row r="17">
      <x:c r="A17" s="4">
        <x:v>6191.0</x:v>
      </x:c>
      <x:c r="B17" s="4" t="s">
        <x:v>301</x:v>
      </x:c>
      <x:c r="C17" s="4" t="s">
        <x:v>313</x:v>
      </x:c>
      <x:c r="D17" s="4" t="s">
        <x:v>441</x:v>
      </x:c>
      <x:c r="E17" s="4" t="s">
        <x:v>31</x:v>
      </x:c>
      <x:c r="F17" s="4">
        <x:v>5.0</x:v>
      </x:c>
      <x:c r="G17" s="4">
        <x:v>4.0</x:v>
      </x:c>
    </x:row>
    <x:row r="18">
      <x:c r="A18" s="4">
        <x:v>6015.0</x:v>
      </x:c>
      <x:c r="B18" s="4" t="s">
        <x:v>301</x:v>
      </x:c>
      <x:c r="C18" s="4" t="s">
        <x:v>307</x:v>
      </x:c>
      <x:c r="D18" s="4" t="s">
        <x:v>470</x:v>
      </x:c>
      <x:c r="E18" s="4" t="s">
        <x:v>43</x:v>
      </x:c>
      <x:c r="F18" s="4">
        <x:v>3.0</x:v>
      </x:c>
      <x:c r="G18" s="4">
        <x:v>3.0</x:v>
      </x:c>
    </x:row>
    <x:row r="19">
      <x:c r="A19" s="4">
        <x:v>6666.0</x:v>
      </x:c>
      <x:c r="B19" s="4" t="s">
        <x:v>301</x:v>
      </x:c>
      <x:c r="C19" s="4" t="s">
        <x:v>301</x:v>
      </x:c>
      <x:c r="D19" s="4" t="s">
        <x:v>360</x:v>
      </x:c>
      <x:c r="E19" s="4" t="s">
        <x:v>45</x:v>
      </x:c>
      <x:c r="F19" s="4">
        <x:v>11.0</x:v>
      </x:c>
      <x:c r="G19" s="4">
        <x:v>11.0</x:v>
      </x:c>
    </x:row>
    <x:row r="20">
      <x:c r="A20" s="4">
        <x:v>184.0</x:v>
      </x:c>
      <x:c r="B20" s="4" t="s">
        <x:v>301</x:v>
      </x:c>
      <x:c r="C20" s="4" t="s">
        <x:v>302</x:v>
      </x:c>
      <x:c r="D20" s="4" t="s">
        <x:v>387</x:v>
      </x:c>
      <x:c r="E20" s="4" t="s">
        <x:v>33</x:v>
      </x:c>
      <x:c r="F20" s="4">
        <x:v>8.0</x:v>
      </x:c>
      <x:c r="G20" s="4">
        <x:v>9.0</x:v>
      </x:c>
    </x:row>
    <x:row r="21" ht="15.75" customHeight="1">
      <x:c r="A21" s="4">
        <x:v>7028.0</x:v>
      </x:c>
      <x:c r="B21" s="4" t="s">
        <x:v>301</x:v>
      </x:c>
      <x:c r="C21" s="4" t="s">
        <x:v>301</x:v>
      </x:c>
      <x:c r="D21" s="4" t="s">
        <x:v>462</x:v>
      </x:c>
      <x:c r="E21" s="4" t="s">
        <x:v>57</x:v>
      </x:c>
      <x:c r="F21" s="4">
        <x:v>4.0</x:v>
      </x:c>
      <x:c r="G21" s="4">
        <x:v>4.0</x:v>
      </x:c>
    </x:row>
    <x:row r="22" ht="15.75" customHeight="1">
      <x:c r="A22" s="4">
        <x:v>6219.0</x:v>
      </x:c>
      <x:c r="B22" s="4" t="s">
        <x:v>301</x:v>
      </x:c>
      <x:c r="C22" s="4" t="s">
        <x:v>313</x:v>
      </x:c>
      <x:c r="D22" s="4" t="s">
        <x:v>432</x:v>
      </x:c>
      <x:c r="E22" s="4" t="s">
        <x:v>49</x:v>
      </x:c>
      <x:c r="F22" s="4">
        <x:v>6.0</x:v>
      </x:c>
      <x:c r="G22" s="4">
        <x:v>6.0</x:v>
      </x:c>
    </x:row>
    <x:row r="23" ht="15.75" customHeight="1">
      <x:c r="A23" s="4">
        <x:v>5992.0</x:v>
      </x:c>
      <x:c r="B23" s="4" t="s">
        <x:v>301</x:v>
      </x:c>
      <x:c r="C23" s="4" t="s">
        <x:v>313</x:v>
      </x:c>
      <x:c r="D23" s="4" t="s">
        <x:v>458</x:v>
      </x:c>
      <x:c r="E23" s="4" t="s">
        <x:v>47</x:v>
      </x:c>
      <x:c r="F23" s="4">
        <x:v>4.0</x:v>
      </x:c>
      <x:c r="G23" s="4">
        <x:v>3.0</x:v>
      </x:c>
    </x:row>
    <x:row r="24" ht="15.75" customHeight="1">
      <x:c r="A24" s="4">
        <x:v>4947.0</x:v>
      </x:c>
      <x:c r="B24" s="4" t="s">
        <x:v>301</x:v>
      </x:c>
      <x:c r="C24" s="4" t="s">
        <x:v>307</x:v>
      </x:c>
      <x:c r="D24" s="4" t="s">
        <x:v>399</x:v>
      </x:c>
      <x:c r="E24" s="4" t="s">
        <x:v>27</x:v>
      </x:c>
      <x:c r="F24" s="4">
        <x:v>7.0</x:v>
      </x:c>
      <x:c r="G24" s="4">
        <x:v>8.0</x:v>
      </x:c>
    </x:row>
    <x:row r="25" ht="15.75" customHeight="1">
      <x:c r="A25" s="4">
        <x:v>2194.0</x:v>
      </x:c>
      <x:c r="B25" s="4" t="s">
        <x:v>301</x:v>
      </x:c>
      <x:c r="C25" s="4" t="s">
        <x:v>313</x:v>
      </x:c>
      <x:c r="D25" s="4" t="s">
        <x:v>314</x:v>
      </x:c>
      <x:c r="E25" s="4" t="s">
        <x:v>19</x:v>
      </x:c>
      <x:c r="F25" s="4">
        <x:v>22.0</x:v>
      </x:c>
      <x:c r="G25" s="4">
        <x:v>23.0</x:v>
      </x:c>
      <x:c r="L25" s="7">
        <x:v>26.0</x:v>
      </x:c>
    </x:row>
    <x:row r="26" ht="15.75" customHeight="1">
      <x:c r="A26" s="4">
        <x:v>5036.0</x:v>
      </x:c>
      <x:c r="B26" s="4" t="s">
        <x:v>301</x:v>
      </x:c>
      <x:c r="C26" s="4" t="s">
        <x:v>307</x:v>
      </x:c>
      <x:c r="D26" s="4" t="s">
        <x:v>353</x:v>
      </x:c>
      <x:c r="E26" s="4" t="s">
        <x:v>35</x:v>
      </x:c>
      <x:c r="F26" s="4">
        <x:v>11.0</x:v>
      </x:c>
      <x:c r="G26" s="4">
        <x:v>12.0</x:v>
      </x:c>
    </x:row>
    <x:row r="27" ht="15.75" customHeight="1">
      <x:c r="A27" s="4">
        <x:v>6106.0</x:v>
      </x:c>
      <x:c r="B27" s="4" t="s">
        <x:v>301</x:v>
      </x:c>
      <x:c r="C27" s="4" t="s">
        <x:v>304</x:v>
      </x:c>
      <x:c r="D27" s="4" t="s">
        <x:v>357</x:v>
      </x:c>
      <x:c r="E27" s="4" t="s">
        <x:v>37</x:v>
      </x:c>
      <x:c r="F27" s="4">
        <x:v>11.0</x:v>
      </x:c>
      <x:c r="G27" s="4">
        <x:v>11.0</x:v>
      </x:c>
      <x:c r="J27" s="7">
        <x:v>12.0</x:v>
      </x:c>
    </x:row>
    <x:row r="28" ht="15.75" customHeight="1">
      <x:c r="A28" s="4">
        <x:v>5888.0</x:v>
      </x:c>
      <x:c r="B28" s="4" t="s">
        <x:v>301</x:v>
      </x:c>
      <x:c r="C28" s="4" t="s">
        <x:v>307</x:v>
      </x:c>
      <x:c r="D28" s="4" t="s">
        <x:v>346</x:v>
      </x:c>
      <x:c r="E28" s="4" t="s">
        <x:v>41</x:v>
      </x:c>
      <x:c r="F28" s="4">
        <x:v>12.0</x:v>
      </x:c>
      <x:c r="G28" s="4">
        <x:v>12.0</x:v>
      </x:c>
      <x:c r="O28" s="7">
        <x:v>2.0</x:v>
      </x:c>
    </x:row>
    <x:row r="29" ht="15.75" customHeight="1">
      <x:c r="A29" s="4">
        <x:v>333.0</x:v>
      </x:c>
      <x:c r="B29" s="4" t="s">
        <x:v>301</x:v>
      </x:c>
      <x:c r="C29" s="4" t="s">
        <x:v>313</x:v>
      </x:c>
      <x:c r="D29" s="4" t="s">
        <x:v>442</x:v>
      </x:c>
      <x:c r="E29" s="4" t="s">
        <x:v>31</x:v>
      </x:c>
      <x:c r="F29" s="4">
        <x:v>5.0</x:v>
      </x:c>
      <x:c r="G29" s="4">
        <x:v>5.0</x:v>
      </x:c>
    </x:row>
    <x:row r="30" ht="15.75" customHeight="1">
      <x:c r="A30" s="4">
        <x:v>7132.0</x:v>
      </x:c>
      <x:c r="B30" s="4" t="s">
        <x:v>301</x:v>
      </x:c>
      <x:c r="C30" s="4" t="s">
        <x:v>313</x:v>
      </x:c>
      <x:c r="D30" s="4" t="s">
        <x:v>374</x:v>
      </x:c>
      <x:c r="E30" s="4" t="s">
        <x:v>47</x:v>
      </x:c>
      <x:c r="F30" s="4">
        <x:v>9.0</x:v>
      </x:c>
      <x:c r="G30" s="4">
        <x:v>8.0</x:v>
      </x:c>
    </x:row>
    <x:row r="31" ht="15.75" customHeight="1">
      <x:c r="A31" s="4">
        <x:v>6884.0</x:v>
      </x:c>
      <x:c r="B31" s="4" t="s">
        <x:v>301</x:v>
      </x:c>
      <x:c r="C31" s="4" t="s">
        <x:v>302</x:v>
      </x:c>
      <x:c r="D31" s="4" t="s">
        <x:v>318</x:v>
      </x:c>
      <x:c r="E31" s="4" t="s">
        <x:v>17</x:v>
      </x:c>
      <x:c r="F31" s="4">
        <x:v>18.0</x:v>
      </x:c>
      <x:c r="G31" s="4">
        <x:v>18.0</x:v>
      </x:c>
      <x:c r="M31" s="7">
        <x:v>30.0</x:v>
      </x:c>
    </x:row>
    <x:row r="32" ht="15.75" customHeight="1">
      <x:c r="A32" s="4">
        <x:v>4677.0</x:v>
      </x:c>
      <x:c r="B32" s="4" t="s">
        <x:v>301</x:v>
      </x:c>
      <x:c r="C32" s="4" t="s">
        <x:v>316</x:v>
      </x:c>
      <x:c r="D32" s="4" t="s">
        <x:v>414</x:v>
      </x:c>
      <x:c r="E32" s="4" t="s">
        <x:v>37</x:v>
      </x:c>
      <x:c r="F32" s="4">
        <x:v>7.0</x:v>
      </x:c>
      <x:c r="G32" s="4">
        <x:v>7.0</x:v>
      </x:c>
    </x:row>
    <x:row r="33" ht="15.75" customHeight="1">
      <x:c r="A33" s="4">
        <x:v>5504.0</x:v>
      </x:c>
      <x:c r="B33" s="4" t="s">
        <x:v>301</x:v>
      </x:c>
      <x:c r="C33" s="4" t="s">
        <x:v>313</x:v>
      </x:c>
      <x:c r="D33" s="4" t="s">
        <x:v>395</x:v>
      </x:c>
      <x:c r="E33" s="4" t="s">
        <x:v>43</x:v>
      </x:c>
      <x:c r="F33" s="4">
        <x:v>8.0</x:v>
      </x:c>
      <x:c r="G33" s="4">
        <x:v>7.0</x:v>
      </x:c>
    </x:row>
    <x:row r="34" ht="15.75" customHeight="1">
      <x:c r="A34" s="4">
        <x:v>7276.0</x:v>
      </x:c>
      <x:c r="B34" s="4" t="s">
        <x:v>301</x:v>
      </x:c>
      <x:c r="C34" s="4" t="s">
        <x:v>301</x:v>
      </x:c>
      <x:c r="D34" s="4" t="s">
        <x:v>448</x:v>
      </x:c>
      <x:c r="E34" s="4" t="s">
        <x:v>45</x:v>
      </x:c>
      <x:c r="F34" s="4">
        <x:v>5.0</x:v>
      </x:c>
      <x:c r="G34" s="4">
        <x:v>5.0</x:v>
      </x:c>
    </x:row>
    <x:row r="35" ht="15.75" customHeight="1">
      <x:c r="A35" s="4">
        <x:v>779.0</x:v>
      </x:c>
      <x:c r="B35" s="4" t="s">
        <x:v>301</x:v>
      </x:c>
      <x:c r="C35" s="4" t="s">
        <x:v>313</x:v>
      </x:c>
      <x:c r="D35" s="4" t="s">
        <x:v>369</x:v>
      </x:c>
      <x:c r="E35" s="4" t="s">
        <x:v>25</x:v>
      </x:c>
      <x:c r="F35" s="4">
        <x:v>10.0</x:v>
      </x:c>
      <x:c r="G35" s="4">
        <x:v>9.0</x:v>
      </x:c>
    </x:row>
    <x:row r="36" ht="15.75" customHeight="1">
      <x:c r="A36" s="4">
        <x:v>7025.0</x:v>
      </x:c>
      <x:c r="B36" s="4" t="s">
        <x:v>301</x:v>
      </x:c>
      <x:c r="C36" s="4" t="s">
        <x:v>330</x:v>
      </x:c>
      <x:c r="D36" s="4" t="s">
        <x:v>493</x:v>
      </x:c>
      <x:c r="E36" s="4" t="s">
        <x:v>37</x:v>
      </x:c>
      <x:c r="F36" s="4">
        <x:v>1.0</x:v>
      </x:c>
      <x:c r="G36" s="4">
        <x:v>1.0</x:v>
      </x:c>
    </x:row>
    <x:row r="37" ht="15.75" customHeight="1">
      <x:c r="A37" s="4">
        <x:v>5559.0</x:v>
      </x:c>
      <x:c r="B37" s="4" t="s">
        <x:v>301</x:v>
      </x:c>
      <x:c r="C37" s="4" t="s">
        <x:v>339</x:v>
      </x:c>
      <x:c r="D37" s="4" t="s">
        <x:v>340</x:v>
      </x:c>
      <x:c r="E37" s="4" t="s">
        <x:v>35</x:v>
      </x:c>
      <x:c r="F37" s="4">
        <x:v>12.0</x:v>
      </x:c>
      <x:c r="G37" s="4">
        <x:v>12.0</x:v>
      </x:c>
      <x:c r="N37" s="7">
        <x:v>14.0</x:v>
      </x:c>
    </x:row>
    <x:row r="38" ht="15.75" customHeight="1">
      <x:c r="A38" s="4">
        <x:v>2517.0</x:v>
      </x:c>
      <x:c r="B38" s="4" t="s">
        <x:v>301</x:v>
      </x:c>
      <x:c r="C38" s="4" t="s">
        <x:v>310</x:v>
      </x:c>
      <x:c r="D38" s="4" t="s">
        <x:v>311</x:v>
      </x:c>
      <x:c r="E38" s="4" t="s">
        <x:v>23</x:v>
      </x:c>
      <x:c r="F38" s="4">
        <x:v>23.0</x:v>
      </x:c>
      <x:c r="G38" s="4">
        <x:v>23.0</x:v>
      </x:c>
      <x:c r="J38" s="7">
        <x:v>62.0</x:v>
      </x:c>
    </x:row>
    <x:row r="39" ht="15.75" customHeight="1">
      <x:c r="A39" s="4">
        <x:v>22.0</x:v>
      </x:c>
      <x:c r="B39" s="4" t="s">
        <x:v>301</x:v>
      </x:c>
      <x:c r="C39" s="4" t="s">
        <x:v>313</x:v>
      </x:c>
      <x:c r="D39" s="4" t="s">
        <x:v>338</x:v>
      </x:c>
      <x:c r="E39" s="4" t="s">
        <x:v>27</x:v>
      </x:c>
      <x:c r="F39" s="4">
        <x:v>12.0</x:v>
      </x:c>
      <x:c r="G39" s="4">
        <x:v>12.0</x:v>
      </x:c>
      <x:c r="K39" s="7">
        <x:v>9.0</x:v>
      </x:c>
    </x:row>
    <x:row r="40" ht="15.75" customHeight="1">
      <x:c r="A40" s="4">
        <x:v>1871.0</x:v>
      </x:c>
      <x:c r="B40" s="4" t="s">
        <x:v>301</x:v>
      </x:c>
      <x:c r="C40" s="4" t="s">
        <x:v>313</x:v>
      </x:c>
      <x:c r="D40" s="4" t="s">
        <x:v>416</x:v>
      </x:c>
      <x:c r="E40" s="4" t="s">
        <x:v>39</x:v>
      </x:c>
      <x:c r="F40" s="4">
        <x:v>6.0</x:v>
      </x:c>
      <x:c r="G40" s="4">
        <x:v>5.0</x:v>
      </x:c>
    </x:row>
    <x:row r="41" ht="15.75" customHeight="1">
      <x:c r="A41" s="4">
        <x:v>6629.0</x:v>
      </x:c>
      <x:c r="B41" s="4" t="s">
        <x:v>301</x:v>
      </x:c>
      <x:c r="C41" s="4" t="s">
        <x:v>307</x:v>
      </x:c>
      <x:c r="D41" s="4" t="s">
        <x:v>358</x:v>
      </x:c>
      <x:c r="E41" s="4" t="s">
        <x:v>31</x:v>
      </x:c>
      <x:c r="F41" s="4">
        <x:v>11.0</x:v>
      </x:c>
      <x:c r="G41" s="4">
        <x:v>11.0</x:v>
      </x:c>
      <x:c r="O41" s="7">
        <x:v>2.0</x:v>
      </x:c>
    </x:row>
    <x:row r="42" ht="15.75" customHeight="1">
      <x:c r="A42" s="4">
        <x:v>6274.0</x:v>
      </x:c>
      <x:c r="B42" s="4" t="s">
        <x:v>301</x:v>
      </x:c>
      <x:c r="C42" s="4" t="s">
        <x:v>301</x:v>
      </x:c>
      <x:c r="D42" s="4" t="s">
        <x:v>438</x:v>
      </x:c>
      <x:c r="E42" s="4" t="s">
        <x:v>19</x:v>
      </x:c>
      <x:c r="F42" s="4">
        <x:v>6.0</x:v>
      </x:c>
      <x:c r="G42" s="4">
        <x:v>7.0</x:v>
      </x:c>
    </x:row>
    <x:row r="43" ht="15.75" customHeight="1">
      <x:c r="A43" s="4">
        <x:v>5792.0</x:v>
      </x:c>
      <x:c r="B43" s="4" t="s">
        <x:v>301</x:v>
      </x:c>
      <x:c r="C43" s="4" t="s">
        <x:v>313</x:v>
      </x:c>
      <x:c r="D43" s="4" t="s">
        <x:v>325</x:v>
      </x:c>
      <x:c r="E43" s="4" t="s">
        <x:v>27</x:v>
      </x:c>
      <x:c r="F43" s="4">
        <x:v>14.0</x:v>
      </x:c>
      <x:c r="G43" s="4">
        <x:v>15.0</x:v>
      </x:c>
      <x:c r="N43" s="7">
        <x:v>18.0</x:v>
      </x:c>
    </x:row>
    <x:row r="44" ht="15.75" customHeight="1">
      <x:c r="A44" s="4">
        <x:v>6684.0</x:v>
      </x:c>
      <x:c r="B44" s="4" t="s">
        <x:v>301</x:v>
      </x:c>
      <x:c r="C44" s="4" t="s">
        <x:v>307</x:v>
      </x:c>
      <x:c r="D44" s="4" t="s">
        <x:v>371</x:v>
      </x:c>
      <x:c r="E44" s="4" t="s">
        <x:v>51</x:v>
      </x:c>
      <x:c r="F44" s="4">
        <x:v>10.0</x:v>
      </x:c>
      <x:c r="G44" s="4">
        <x:v>10.0</x:v>
      </x:c>
      <x:c r="H44" s="7">
        <x:v>1.0</x:v>
      </x:c>
    </x:row>
    <x:row r="45" ht="15.75" customHeight="1">
      <x:c r="A45" s="4">
        <x:v>6271.0</x:v>
      </x:c>
      <x:c r="B45" s="4" t="s">
        <x:v>301</x:v>
      </x:c>
      <x:c r="C45" s="4" t="s">
        <x:v>313</x:v>
      </x:c>
      <x:c r="D45" s="4" t="s">
        <x:v>382</x:v>
      </x:c>
      <x:c r="E45" s="4" t="s">
        <x:v>25</x:v>
      </x:c>
      <x:c r="F45" s="4">
        <x:v>9.0</x:v>
      </x:c>
      <x:c r="G45" s="4">
        <x:v>9.0</x:v>
      </x:c>
      <x:c r="J45" s="7">
        <x:v>7.0</x:v>
      </x:c>
    </x:row>
    <x:row r="46" ht="15.75" customHeight="1">
      <x:c r="A46" s="4">
        <x:v>795.0</x:v>
      </x:c>
      <x:c r="B46" s="4" t="s">
        <x:v>301</x:v>
      </x:c>
      <x:c r="C46" s="4" t="s">
        <x:v>316</x:v>
      </x:c>
      <x:c r="D46" s="4" t="s">
        <x:v>396</x:v>
      </x:c>
      <x:c r="E46" s="4" t="s">
        <x:v>25</x:v>
      </x:c>
      <x:c r="F46" s="4">
        <x:v>8.0</x:v>
      </x:c>
      <x:c r="G46" s="4">
        <x:v>8.0</x:v>
      </x:c>
      <x:c r="M46" s="7">
        <x:v>9.0</x:v>
      </x:c>
    </x:row>
    <x:row r="47" ht="15.75" customHeight="1">
      <x:c r="A47" s="4">
        <x:v>6020.0</x:v>
      </x:c>
      <x:c r="B47" s="4" t="s">
        <x:v>301</x:v>
      </x:c>
      <x:c r="C47" s="4" t="s">
        <x:v>401</x:v>
      </x:c>
      <x:c r="D47" s="4" t="s">
        <x:v>420</x:v>
      </x:c>
      <x:c r="E47" s="4" t="s">
        <x:v>37</x:v>
      </x:c>
      <x:c r="F47" s="4">
        <x:v>6.0</x:v>
      </x:c>
      <x:c r="G47" s="4">
        <x:v>5.0</x:v>
      </x:c>
    </x:row>
    <x:row r="48" ht="15.75" customHeight="1">
      <x:c r="A48" s="4">
        <x:v>4479.0</x:v>
      </x:c>
      <x:c r="B48" s="4" t="s">
        <x:v>301</x:v>
      </x:c>
      <x:c r="C48" s="4" t="s">
        <x:v>330</x:v>
      </x:c>
      <x:c r="D48" s="4" t="s">
        <x:v>363</x:v>
      </x:c>
      <x:c r="E48" s="4" t="s">
        <x:v>23</x:v>
      </x:c>
      <x:c r="F48" s="4">
        <x:v>11.0</x:v>
      </x:c>
      <x:c r="G48" s="4">
        <x:v>11.0</x:v>
      </x:c>
      <x:c r="I48" s="7">
        <x:v>1.0</x:v>
      </x:c>
    </x:row>
    <x:row r="49" ht="15.75" customHeight="1">
      <x:c r="A49" s="4">
        <x:v>5290.0</x:v>
      </x:c>
      <x:c r="B49" s="4" t="s">
        <x:v>301</x:v>
      </x:c>
      <x:c r="C49" s="4" t="s">
        <x:v>313</x:v>
      </x:c>
      <x:c r="D49" s="4" t="s">
        <x:v>481</x:v>
      </x:c>
      <x:c r="E49" s="4" t="s">
        <x:v>45</x:v>
      </x:c>
      <x:c r="F49" s="4">
        <x:v>2.0</x:v>
      </x:c>
      <x:c r="G49" s="4">
        <x:v>2.0</x:v>
      </x:c>
    </x:row>
    <x:row r="50" ht="15.75" customHeight="1">
      <x:c r="A50" s="4">
        <x:v>6206.0</x:v>
      </x:c>
      <x:c r="B50" s="4" t="s">
        <x:v>301</x:v>
      </x:c>
      <x:c r="C50" s="4" t="s">
        <x:v>307</x:v>
      </x:c>
      <x:c r="D50" s="4" t="s">
        <x:v>365</x:v>
      </x:c>
      <x:c r="E50" s="4" t="s">
        <x:v>33</x:v>
      </x:c>
      <x:c r="F50" s="4">
        <x:v>10.0</x:v>
      </x:c>
      <x:c r="G50" s="4">
        <x:v>10.0</x:v>
      </x:c>
    </x:row>
    <x:row r="51" ht="15.75" customHeight="1">
      <x:c r="A51" s="4">
        <x:v>6815.0</x:v>
      </x:c>
      <x:c r="B51" s="4" t="s">
        <x:v>301</x:v>
      </x:c>
      <x:c r="C51" s="4" t="s">
        <x:v>316</x:v>
      </x:c>
      <x:c r="D51" s="4" t="s">
        <x:v>433</x:v>
      </x:c>
      <x:c r="E51" s="4" t="s">
        <x:v>49</x:v>
      </x:c>
      <x:c r="F51" s="4">
        <x:v>6.0</x:v>
      </x:c>
      <x:c r="G51" s="4">
        <x:v>6.0</x:v>
      </x:c>
    </x:row>
    <x:row r="52" ht="15.75" customHeight="1">
      <x:c r="A52" s="4">
        <x:v>4465.0</x:v>
      </x:c>
      <x:c r="B52" s="4" t="s">
        <x:v>301</x:v>
      </x:c>
      <x:c r="C52" s="4" t="s">
        <x:v>301</x:v>
      </x:c>
      <x:c r="D52" s="4" t="s">
        <x:v>391</x:v>
      </x:c>
      <x:c r="E52" s="4" t="s">
        <x:v>29</x:v>
      </x:c>
      <x:c r="F52" s="4">
        <x:v>8.0</x:v>
      </x:c>
      <x:c r="G52" s="4">
        <x:v>8.0</x:v>
      </x:c>
    </x:row>
    <x:row r="53" ht="15.75" customHeight="1">
      <x:c r="A53" s="4">
        <x:v>6010.0</x:v>
      </x:c>
      <x:c r="B53" s="4" t="s">
        <x:v>301</x:v>
      </x:c>
      <x:c r="C53" s="4" t="s">
        <x:v>307</x:v>
      </x:c>
      <x:c r="D53" s="4" t="s">
        <x:v>355</x:v>
      </x:c>
      <x:c r="E53" s="4" t="s">
        <x:v>29</x:v>
      </x:c>
      <x:c r="F53" s="4">
        <x:v>11.0</x:v>
      </x:c>
      <x:c r="G53" s="4">
        <x:v>11.0</x:v>
      </x:c>
    </x:row>
    <x:row r="54" ht="15.75" customHeight="1">
      <x:c r="A54" s="4">
        <x:v>6640.0</x:v>
      </x:c>
      <x:c r="B54" s="4" t="s">
        <x:v>301</x:v>
      </x:c>
      <x:c r="C54" s="4" t="s">
        <x:v>316</x:v>
      </x:c>
      <x:c r="D54" s="4" t="s">
        <x:v>417</x:v>
      </x:c>
      <x:c r="E54" s="4" t="s">
        <x:v>39</x:v>
      </x:c>
      <x:c r="F54" s="4">
        <x:v>6.0</x:v>
      </x:c>
      <x:c r="G54" s="4">
        <x:v>6.0</x:v>
      </x:c>
    </x:row>
    <x:row r="55" ht="15.75" customHeight="1">
      <x:c r="A55" s="4">
        <x:v>5858.0</x:v>
      </x:c>
      <x:c r="B55" s="4" t="s">
        <x:v>301</x:v>
      </x:c>
      <x:c r="C55" s="4" t="s">
        <x:v>307</x:v>
      </x:c>
      <x:c r="D55" s="4" t="s">
        <x:v>366</x:v>
      </x:c>
      <x:c r="E55" s="4" t="s">
        <x:v>33</x:v>
      </x:c>
      <x:c r="F55" s="4">
        <x:v>10.0</x:v>
      </x:c>
      <x:c r="G55" s="4">
        <x:v>11.0</x:v>
      </x:c>
      <x:c r="H55" s="7">
        <x:v>10.0</x:v>
      </x:c>
    </x:row>
    <x:row r="56" ht="15.75" customHeight="1">
      <x:c r="A56" s="4">
        <x:v>4686.0</x:v>
      </x:c>
      <x:c r="B56" s="4" t="s">
        <x:v>301</x:v>
      </x:c>
      <x:c r="C56" s="4" t="s">
        <x:v>313</x:v>
      </x:c>
      <x:c r="D56" s="4" t="s">
        <x:v>359</x:v>
      </x:c>
      <x:c r="E56" s="4" t="s">
        <x:v>21</x:v>
      </x:c>
      <x:c r="F56" s="4">
        <x:v>11.0</x:v>
      </x:c>
      <x:c r="G56" s="4">
        <x:v>11.0</x:v>
      </x:c>
    </x:row>
    <x:row r="57" ht="15.75" customHeight="1">
      <x:c r="A57" s="4">
        <x:v>6252.0</x:v>
      </x:c>
      <x:c r="B57" s="4" t="s">
        <x:v>301</x:v>
      </x:c>
      <x:c r="C57" s="4" t="s">
        <x:v>307</x:v>
      </x:c>
      <x:c r="D57" s="4" t="s">
        <x:v>373</x:v>
      </x:c>
      <x:c r="E57" s="4" t="s">
        <x:v>39</x:v>
      </x:c>
      <x:c r="F57" s="4">
        <x:v>9.0</x:v>
      </x:c>
      <x:c r="G57" s="4">
        <x:v>9.0</x:v>
      </x:c>
      <x:c r="L57" s="7">
        <x:v>2.0</x:v>
      </x:c>
    </x:row>
    <x:row r="58" ht="15.75" customHeight="1">
      <x:c r="A58" s="4">
        <x:v>2848.0</x:v>
      </x:c>
      <x:c r="B58" s="4" t="s">
        <x:v>301</x:v>
      </x:c>
      <x:c r="C58" s="4" t="s">
        <x:v>307</x:v>
      </x:c>
      <x:c r="D58" s="4" t="s">
        <x:v>333</x:v>
      </x:c>
      <x:c r="E58" s="4" t="s">
        <x:v>19</x:v>
      </x:c>
      <x:c r="F58" s="4">
        <x:v>13.0</x:v>
      </x:c>
      <x:c r="G58" s="4">
        <x:v>14.0</x:v>
      </x:c>
      <x:c r="J58" s="7">
        <x:v>4.0</x:v>
      </x:c>
    </x:row>
    <x:row r="59" ht="15.75" customHeight="1">
      <x:c r="A59" s="4">
        <x:v>5791.0</x:v>
      </x:c>
      <x:c r="B59" s="4" t="s">
        <x:v>301</x:v>
      </x:c>
      <x:c r="C59" s="4" t="s">
        <x:v>313</x:v>
      </x:c>
      <x:c r="D59" s="4" t="s">
        <x:v>375</x:v>
      </x:c>
      <x:c r="E59" s="4" t="s">
        <x:v>37</x:v>
      </x:c>
      <x:c r="F59" s="4">
        <x:v>9.0</x:v>
      </x:c>
      <x:c r="G59" s="4">
        <x:v>9.0</x:v>
      </x:c>
    </x:row>
    <x:row r="60" ht="15.75" customHeight="1">
      <x:c r="A60" s="4">
        <x:v>788.0</x:v>
      </x:c>
      <x:c r="B60" s="4" t="s">
        <x:v>301</x:v>
      </x:c>
      <x:c r="C60" s="4" t="s">
        <x:v>313</x:v>
      </x:c>
      <x:c r="D60" s="4" t="s">
        <x:v>352</x:v>
      </x:c>
      <x:c r="E60" s="4" t="s">
        <x:v>33</x:v>
      </x:c>
      <x:c r="F60" s="4">
        <x:v>11.0</x:v>
      </x:c>
      <x:c r="G60" s="4">
        <x:v>11.0</x:v>
      </x:c>
    </x:row>
    <x:row r="61" ht="15.75" customHeight="1">
      <x:c r="A61" s="4">
        <x:v>4364.0</x:v>
      </x:c>
      <x:c r="B61" s="4" t="s">
        <x:v>301</x:v>
      </x:c>
      <x:c r="C61" s="4" t="s">
        <x:v>310</x:v>
      </x:c>
      <x:c r="D61" s="4" t="s">
        <x:v>388</x:v>
      </x:c>
      <x:c r="E61" s="4" t="s">
        <x:v>39</x:v>
      </x:c>
      <x:c r="F61" s="4">
        <x:v>8.0</x:v>
      </x:c>
      <x:c r="G61" s="4">
        <x:v>8.0</x:v>
      </x:c>
    </x:row>
    <x:row r="62" ht="15.75" customHeight="1">
      <x:c r="A62" s="4">
        <x:v>5131.0</x:v>
      </x:c>
      <x:c r="B62" s="4" t="s">
        <x:v>301</x:v>
      </x:c>
      <x:c r="C62" s="4" t="s">
        <x:v>313</x:v>
      </x:c>
      <x:c r="D62" s="4" t="s">
        <x:v>426</x:v>
      </x:c>
      <x:c r="E62" s="4" t="s">
        <x:v>23</x:v>
      </x:c>
      <x:c r="F62" s="4">
        <x:v>6.0</x:v>
      </x:c>
      <x:c r="G62" s="4">
        <x:v>7.0</x:v>
      </x:c>
    </x:row>
    <x:row r="63" ht="15.75" customHeight="1">
      <x:c r="A63" s="4">
        <x:v>6170.0</x:v>
      </x:c>
      <x:c r="B63" s="4" t="s">
        <x:v>301</x:v>
      </x:c>
      <x:c r="C63" s="4" t="s">
        <x:v>301</x:v>
      </x:c>
      <x:c r="D63" s="4" t="s">
        <x:v>460</x:v>
      </x:c>
      <x:c r="E63" s="4" t="s">
        <x:v>41</x:v>
      </x:c>
      <x:c r="F63" s="4">
        <x:v>4.0</x:v>
      </x:c>
      <x:c r="G63" s="4">
        <x:v>5.0</x:v>
      </x:c>
    </x:row>
    <x:row r="64" ht="15.75" customHeight="1">
      <x:c r="A64" s="4">
        <x:v>27.0</x:v>
      </x:c>
      <x:c r="B64" s="4" t="s">
        <x:v>301</x:v>
      </x:c>
      <x:c r="C64" s="4" t="s">
        <x:v>313</x:v>
      </x:c>
      <x:c r="D64" s="4" t="s">
        <x:v>453</x:v>
      </x:c>
      <x:c r="E64" s="4" t="s">
        <x:v>47</x:v>
      </x:c>
      <x:c r="F64" s="4">
        <x:v>4.0</x:v>
      </x:c>
      <x:c r="G64" s="4">
        <x:v>4.0</x:v>
      </x:c>
    </x:row>
    <x:row r="65" ht="15.75" customHeight="1">
      <x:c r="A65" s="4">
        <x:v>6722.0</x:v>
      </x:c>
      <x:c r="B65" s="4" t="s">
        <x:v>301</x:v>
      </x:c>
      <x:c r="C65" s="4" t="s">
        <x:v>330</x:v>
      </x:c>
      <x:c r="D65" s="4" t="s">
        <x:v>356</x:v>
      </x:c>
      <x:c r="E65" s="4" t="s">
        <x:v>37</x:v>
      </x:c>
      <x:c r="F65" s="4">
        <x:v>11.0</x:v>
      </x:c>
      <x:c r="G65" s="4">
        <x:v>12.0</x:v>
      </x:c>
      <x:c r="I65" s="7">
        <x:v>1.0</x:v>
      </x:c>
    </x:row>
    <x:row r="66" ht="15.75" customHeight="1">
      <x:c r="A66" s="4">
        <x:v>5800.0</x:v>
      </x:c>
      <x:c r="B66" s="4" t="s">
        <x:v>301</x:v>
      </x:c>
      <x:c r="C66" s="4" t="s">
        <x:v>304</x:v>
      </x:c>
      <x:c r="D66" s="4" t="s">
        <x:v>309</x:v>
      </x:c>
      <x:c r="E66" s="4" t="s">
        <x:v>29</x:v>
      </x:c>
      <x:c r="F66" s="4">
        <x:v>24.0</x:v>
      </x:c>
      <x:c r="G66" s="4">
        <x:v>24.0</x:v>
      </x:c>
      <x:c r="L66" s="7">
        <x:v>41.0</x:v>
      </x:c>
    </x:row>
    <x:row r="67" ht="15.75" customHeight="1">
      <x:c r="A67" s="4">
        <x:v>4186.0</x:v>
      </x:c>
      <x:c r="B67" s="4" t="s">
        <x:v>301</x:v>
      </x:c>
      <x:c r="C67" s="4" t="s">
        <x:v>301</x:v>
      </x:c>
      <x:c r="D67" s="4" t="s">
        <x:v>341</x:v>
      </x:c>
      <x:c r="E67" s="4" t="s">
        <x:v>31</x:v>
      </x:c>
      <x:c r="F67" s="4">
        <x:v>12.0</x:v>
      </x:c>
      <x:c r="G67" s="4">
        <x:v>11.0</x:v>
      </x:c>
      <x:c r="N67" s="7">
        <x:v>15.0</x:v>
      </x:c>
    </x:row>
    <x:row r="68" ht="15.75" customHeight="1">
      <x:c r="A68" s="4">
        <x:v>5688.0</x:v>
      </x:c>
      <x:c r="B68" s="4" t="s">
        <x:v>301</x:v>
      </x:c>
      <x:c r="C68" s="4" t="s">
        <x:v>330</x:v>
      </x:c>
      <x:c r="D68" s="4" t="s">
        <x:v>412</x:v>
      </x:c>
      <x:c r="E68" s="4" t="s">
        <x:v>57</x:v>
      </x:c>
      <x:c r="F68" s="4">
        <x:v>7.0</x:v>
      </x:c>
      <x:c r="G68" s="4">
        <x:v>7.0</x:v>
      </x:c>
      <x:c r="L68" s="7">
        <x:v>1.0</x:v>
      </x:c>
    </x:row>
    <x:row r="69" ht="15.75" customHeight="1">
      <x:c r="A69" s="4">
        <x:v>5872.0</x:v>
      </x:c>
      <x:c r="B69" s="4" t="s">
        <x:v>301</x:v>
      </x:c>
      <x:c r="C69" s="4" t="s">
        <x:v>307</x:v>
      </x:c>
      <x:c r="D69" s="4" t="s">
        <x:v>405</x:v>
      </x:c>
      <x:c r="E69" s="4" t="s">
        <x:v>43</x:v>
      </x:c>
      <x:c r="F69" s="4">
        <x:v>7.0</x:v>
      </x:c>
      <x:c r="G69" s="4">
        <x:v>8.0</x:v>
      </x:c>
    </x:row>
    <x:row r="70" ht="15.75" customHeight="1">
      <x:c r="A70" s="4">
        <x:v>4423.0</x:v>
      </x:c>
      <x:c r="B70" s="4" t="s">
        <x:v>301</x:v>
      </x:c>
      <x:c r="C70" s="4" t="s">
        <x:v>301</x:v>
      </x:c>
      <x:c r="D70" s="4" t="s">
        <x:v>428</x:v>
      </x:c>
      <x:c r="E70" s="4" t="s">
        <x:v>45</x:v>
      </x:c>
      <x:c r="F70" s="4">
        <x:v>6.0</x:v>
      </x:c>
      <x:c r="G70" s="4">
        <x:v>7.0</x:v>
      </x:c>
    </x:row>
    <x:row r="71" ht="15.75" customHeight="1">
      <x:c r="A71" s="4">
        <x:v>7147.0</x:v>
      </x:c>
      <x:c r="B71" s="4" t="s">
        <x:v>301</x:v>
      </x:c>
      <x:c r="C71" s="4" t="s">
        <x:v>313</x:v>
      </x:c>
      <x:c r="D71" s="4" t="s">
        <x:v>488</x:v>
      </x:c>
      <x:c r="E71" s="4" t="s">
        <x:v>55</x:v>
      </x:c>
      <x:c r="F71" s="4">
        <x:v>1.0</x:v>
      </x:c>
      <x:c r="G71" s="4">
        <x:v>1.0</x:v>
      </x:c>
    </x:row>
    <x:row r="72" ht="15.75" customHeight="1">
      <x:c r="A72" s="4">
        <x:v>7157.0</x:v>
      </x:c>
      <x:c r="B72" s="4" t="s">
        <x:v>301</x:v>
      </x:c>
      <x:c r="C72" s="4" t="s">
        <x:v>301</x:v>
      </x:c>
      <x:c r="D72" s="4" t="s">
        <x:v>489</x:v>
      </x:c>
      <x:c r="E72" s="4" t="s">
        <x:v>49</x:v>
      </x:c>
      <x:c r="F72" s="4">
        <x:v>1.0</x:v>
      </x:c>
      <x:c r="G72" s="4">
        <x:v>1.0</x:v>
      </x:c>
    </x:row>
    <x:row r="73" ht="15.75" customHeight="1">
      <x:c r="A73" s="4">
        <x:v>5007.0</x:v>
      </x:c>
      <x:c r="B73" s="4" t="s">
        <x:v>301</x:v>
      </x:c>
      <x:c r="C73" s="4" t="s">
        <x:v>301</x:v>
      </x:c>
      <x:c r="D73" s="4" t="s">
        <x:v>410</x:v>
      </x:c>
      <x:c r="E73" s="4" t="s">
        <x:v>41</x:v>
      </x:c>
      <x:c r="F73" s="4">
        <x:v>7.0</x:v>
      </x:c>
      <x:c r="G73" s="4">
        <x:v>7.0</x:v>
      </x:c>
    </x:row>
    <x:row r="74" ht="15.75" customHeight="1">
      <x:c r="A74" s="4">
        <x:v>6005.0</x:v>
      </x:c>
      <x:c r="B74" s="4" t="s">
        <x:v>301</x:v>
      </x:c>
      <x:c r="C74" s="4" t="s">
        <x:v>307</x:v>
      </x:c>
      <x:c r="D74" s="4" t="s">
        <x:v>492</x:v>
      </x:c>
      <x:c r="E74" s="4" t="s">
        <x:v>41</x:v>
      </x:c>
      <x:c r="F74" s="4">
        <x:v>1.0</x:v>
      </x:c>
      <x:c r="G74" s="4">
        <x:v>1.0</x:v>
      </x:c>
    </x:row>
    <x:row r="75" ht="15.75" customHeight="1">
      <x:c r="A75" s="4">
        <x:v>6398.0</x:v>
      </x:c>
      <x:c r="B75" s="4" t="s">
        <x:v>301</x:v>
      </x:c>
      <x:c r="C75" s="4" t="s">
        <x:v>302</x:v>
      </x:c>
      <x:c r="D75" s="4" t="s">
        <x:v>335</x:v>
      </x:c>
      <x:c r="E75" s="4" t="s">
        <x:v>31</x:v>
      </x:c>
      <x:c r="F75" s="4">
        <x:v>13.0</x:v>
      </x:c>
      <x:c r="G75" s="4">
        <x:v>14.0</x:v>
      </x:c>
      <x:c r="K75" s="7">
        <x:v>9.0</x:v>
      </x:c>
    </x:row>
    <x:row r="76" ht="15.75" customHeight="1">
      <x:c r="A76" s="4">
        <x:v>7203.0</x:v>
      </x:c>
      <x:c r="B76" s="4" t="s">
        <x:v>301</x:v>
      </x:c>
      <x:c r="C76" s="4" t="s">
        <x:v>301</x:v>
      </x:c>
      <x:c r="D76" s="4" t="s">
        <x:v>347</x:v>
      </x:c>
      <x:c r="E76" s="4" t="s">
        <x:v>21</x:v>
      </x:c>
      <x:c r="F76" s="4">
        <x:v>12.0</x:v>
      </x:c>
      <x:c r="G76" s="4">
        <x:v>13.0</x:v>
      </x:c>
    </x:row>
    <x:row r="77" ht="15.75" customHeight="1">
      <x:c r="A77" s="4">
        <x:v>6410.0</x:v>
      </x:c>
      <x:c r="B77" s="4" t="s">
        <x:v>301</x:v>
      </x:c>
      <x:c r="C77" s="4" t="s">
        <x:v>313</x:v>
      </x:c>
      <x:c r="D77" s="4" t="s">
        <x:v>480</x:v>
      </x:c>
      <x:c r="E77" s="4" t="s">
        <x:v>43</x:v>
      </x:c>
      <x:c r="F77" s="4">
        <x:v>2.0</x:v>
      </x:c>
      <x:c r="G77" s="4">
        <x:v>1.0</x:v>
      </x:c>
    </x:row>
    <x:row r="78" ht="15.75" customHeight="1">
      <x:c r="A78" s="4">
        <x:v>6680.0</x:v>
      </x:c>
      <x:c r="B78" s="4" t="s">
        <x:v>301</x:v>
      </x:c>
      <x:c r="C78" s="4" t="s">
        <x:v>313</x:v>
      </x:c>
      <x:c r="D78" s="4" t="s">
        <x:v>411</x:v>
      </x:c>
      <x:c r="E78" s="4" t="s">
        <x:v>51</x:v>
      </x:c>
      <x:c r="F78" s="4">
        <x:v>7.0</x:v>
      </x:c>
      <x:c r="G78" s="4">
        <x:v>6.0</x:v>
      </x:c>
    </x:row>
    <x:row r="79" ht="15.75" customHeight="1">
      <x:c r="A79" s="4">
        <x:v>2117.0</x:v>
      </x:c>
      <x:c r="B79" s="4" t="s">
        <x:v>301</x:v>
      </x:c>
      <x:c r="C79" s="4" t="s">
        <x:v>307</x:v>
      </x:c>
      <x:c r="D79" s="4" t="s">
        <x:v>463</x:v>
      </x:c>
      <x:c r="E79" s="4" t="s">
        <x:v>57</x:v>
      </x:c>
      <x:c r="F79" s="4">
        <x:v>4.0</x:v>
      </x:c>
      <x:c r="G79" s="4">
        <x:v>4.0</x:v>
      </x:c>
    </x:row>
    <x:row r="80" ht="15.75" customHeight="1">
      <x:c r="A80" s="4">
        <x:v>6898.0</x:v>
      </x:c>
      <x:c r="B80" s="4" t="s">
        <x:v>301</x:v>
      </x:c>
      <x:c r="C80" s="4" t="s">
        <x:v>313</x:v>
      </x:c>
      <x:c r="D80" s="4" t="s">
        <x:v>427</x:v>
      </x:c>
      <x:c r="E80" s="4" t="s">
        <x:v>45</x:v>
      </x:c>
      <x:c r="F80" s="4">
        <x:v>6.0</x:v>
      </x:c>
      <x:c r="G80" s="4">
        <x:v>6.0</x:v>
      </x:c>
    </x:row>
    <x:row r="81" ht="15.75" customHeight="1">
      <x:c r="A81" s="4">
        <x:v>6717.0</x:v>
      </x:c>
      <x:c r="B81" s="4" t="s">
        <x:v>301</x:v>
      </x:c>
      <x:c r="C81" s="4" t="s">
        <x:v>313</x:v>
      </x:c>
      <x:c r="D81" s="4" t="s">
        <x:v>445</x:v>
      </x:c>
      <x:c r="E81" s="4" t="s">
        <x:v>49</x:v>
      </x:c>
      <x:c r="F81" s="4">
        <x:v>5.0</x:v>
      </x:c>
      <x:c r="G81" s="4">
        <x:v>6.0</x:v>
      </x:c>
    </x:row>
    <x:row r="82" ht="15.75" customHeight="1">
      <x:c r="A82" s="4">
        <x:v>5589.0</x:v>
      </x:c>
      <x:c r="B82" s="4" t="s">
        <x:v>301</x:v>
      </x:c>
      <x:c r="C82" s="4" t="s">
        <x:v>313</x:v>
      </x:c>
      <x:c r="D82" s="4" t="s">
        <x:v>328</x:v>
      </x:c>
      <x:c r="E82" s="4" t="s">
        <x:v>25</x:v>
      </x:c>
      <x:c r="F82" s="4">
        <x:v>14.0</x:v>
      </x:c>
      <x:c r="G82" s="4">
        <x:v>14.0</x:v>
      </x:c>
      <x:c r="K82" s="7">
        <x:v>13.0</x:v>
      </x:c>
    </x:row>
    <x:row r="83" ht="15.75" customHeight="1">
      <x:c r="A83" s="4">
        <x:v>5685.0</x:v>
      </x:c>
      <x:c r="B83" s="4" t="s">
        <x:v>301</x:v>
      </x:c>
      <x:c r="C83" s="4" t="s">
        <x:v>307</x:v>
      </x:c>
      <x:c r="D83" s="4" t="s">
        <x:v>327</x:v>
      </x:c>
      <x:c r="E83" s="4" t="s">
        <x:v>17</x:v>
      </x:c>
      <x:c r="F83" s="4">
        <x:v>14.0</x:v>
      </x:c>
      <x:c r="G83" s="4">
        <x:v>14.0</x:v>
      </x:c>
      <x:c r="K83" s="7">
        <x:v>10.0</x:v>
      </x:c>
    </x:row>
    <x:row r="84" ht="15.75" customHeight="1">
      <x:c r="A84" s="4">
        <x:v>4711.0</x:v>
      </x:c>
      <x:c r="B84" s="4" t="s">
        <x:v>301</x:v>
      </x:c>
      <x:c r="C84" s="4" t="s">
        <x:v>342</x:v>
      </x:c>
      <x:c r="D84" s="4" t="s">
        <x:v>440</x:v>
      </x:c>
      <x:c r="E84" s="4" t="s">
        <x:v>17</x:v>
      </x:c>
      <x:c r="F84" s="4">
        <x:v>5.0</x:v>
      </x:c>
      <x:c r="G84" s="4">
        <x:v>4.0</x:v>
      </x:c>
    </x:row>
    <x:row r="85" ht="15.75" customHeight="1">
      <x:c r="A85" s="4">
        <x:v>2334.0</x:v>
      </x:c>
      <x:c r="B85" s="4" t="s">
        <x:v>301</x:v>
      </x:c>
      <x:c r="C85" s="4" t="s">
        <x:v>316</x:v>
      </x:c>
      <x:c r="D85" s="4" t="s">
        <x:v>482</x:v>
      </x:c>
      <x:c r="E85" s="4" t="s">
        <x:v>55</x:v>
      </x:c>
      <x:c r="F85" s="4">
        <x:v>2.0</x:v>
      </x:c>
      <x:c r="G85" s="4">
        <x:v>2.0</x:v>
      </x:c>
    </x:row>
    <x:row r="86" ht="15.75" customHeight="1">
      <x:c r="A86" s="4">
        <x:v>6246.0</x:v>
      </x:c>
      <x:c r="B86" s="4" t="s">
        <x:v>301</x:v>
      </x:c>
      <x:c r="C86" s="4" t="s">
        <x:v>313</x:v>
      </x:c>
      <x:c r="D86" s="4" t="s">
        <x:v>459</x:v>
      </x:c>
      <x:c r="E86" s="4" t="s">
        <x:v>49</x:v>
      </x:c>
      <x:c r="F86" s="4">
        <x:v>4.0</x:v>
      </x:c>
      <x:c r="G86" s="4">
        <x:v>4.0</x:v>
      </x:c>
    </x:row>
    <x:row r="87" ht="15.75" customHeight="1">
      <x:c r="A87" s="4">
        <x:v>7165.0</x:v>
      </x:c>
      <x:c r="B87" s="4" t="s">
        <x:v>301</x:v>
      </x:c>
      <x:c r="C87" s="4" t="s">
        <x:v>313</x:v>
      </x:c>
      <x:c r="D87" s="4" t="s">
        <x:v>485</x:v>
      </x:c>
      <x:c r="E87" s="4" t="s">
        <x:v>39</x:v>
      </x:c>
      <x:c r="F87" s="4">
        <x:v>1.0</x:v>
      </x:c>
      <x:c r="G87" s="4">
        <x:v>1.0</x:v>
      </x:c>
    </x:row>
    <x:row r="88" ht="15.75" customHeight="1">
      <x:c r="A88" s="4">
        <x:v>4287.0</x:v>
      </x:c>
      <x:c r="B88" s="4" t="s">
        <x:v>301</x:v>
      </x:c>
      <x:c r="C88" s="4" t="s">
        <x:v>313</x:v>
      </x:c>
      <x:c r="D88" s="4" t="s">
        <x:v>381</x:v>
      </x:c>
      <x:c r="E88" s="4" t="s">
        <x:v>23</x:v>
      </x:c>
      <x:c r="F88" s="4">
        <x:v>9.0</x:v>
      </x:c>
      <x:c r="G88" s="4">
        <x:v>9.0</x:v>
      </x:c>
    </x:row>
    <x:row r="89" ht="15.75" customHeight="1">
      <x:c r="A89" s="4">
        <x:v>827.0</x:v>
      </x:c>
      <x:c r="B89" s="4" t="s">
        <x:v>301</x:v>
      </x:c>
      <x:c r="C89" s="4" t="s">
        <x:v>313</x:v>
      </x:c>
      <x:c r="D89" s="4" t="s">
        <x:v>334</x:v>
      </x:c>
      <x:c r="E89" s="4" t="s">
        <x:v>17</x:v>
      </x:c>
      <x:c r="F89" s="4">
        <x:v>13.0</x:v>
      </x:c>
      <x:c r="G89" s="4">
        <x:v>12.0</x:v>
      </x:c>
      <x:c r="K89" s="7">
        <x:v>3.0</x:v>
      </x:c>
    </x:row>
    <x:row r="90" ht="15.75" customHeight="1">
      <x:c r="A90" s="4">
        <x:v>4199.0</x:v>
      </x:c>
      <x:c r="B90" s="4" t="s">
        <x:v>301</x:v>
      </x:c>
      <x:c r="C90" s="4" t="s">
        <x:v>307</x:v>
      </x:c>
      <x:c r="D90" s="4" t="s">
        <x:v>380</x:v>
      </x:c>
      <x:c r="E90" s="4" t="s">
        <x:v>21</x:v>
      </x:c>
      <x:c r="F90" s="4">
        <x:v>9.0</x:v>
      </x:c>
      <x:c r="G90" s="4">
        <x:v>8.0</x:v>
      </x:c>
      <x:c r="H90" s="7">
        <x:v>18.0</x:v>
      </x:c>
    </x:row>
    <x:row r="91" ht="15.75" customHeight="1">
      <x:c r="A91" s="4">
        <x:v>7254.0</x:v>
      </x:c>
      <x:c r="B91" s="4" t="s">
        <x:v>301</x:v>
      </x:c>
      <x:c r="C91" s="4" t="s">
        <x:v>310</x:v>
      </x:c>
      <x:c r="D91" s="4" t="s">
        <x:v>413</x:v>
      </x:c>
      <x:c r="E91" s="4" t="s">
        <x:v>55</x:v>
      </x:c>
      <x:c r="F91" s="4">
        <x:v>7.0</x:v>
      </x:c>
      <x:c r="G91" s="4">
        <x:v>7.0</x:v>
      </x:c>
    </x:row>
    <x:row r="92" ht="15.75" customHeight="1">
      <x:c r="A92" s="4">
        <x:v>5850.0</x:v>
      </x:c>
      <x:c r="B92" s="4" t="s">
        <x:v>301</x:v>
      </x:c>
      <x:c r="C92" s="4" t="s">
        <x:v>301</x:v>
      </x:c>
      <x:c r="D92" s="4" t="s">
        <x:v>384</x:v>
      </x:c>
      <x:c r="E92" s="4" t="s">
        <x:v>51</x:v>
      </x:c>
      <x:c r="F92" s="4">
        <x:v>9.0</x:v>
      </x:c>
      <x:c r="G92" s="4">
        <x:v>9.0</x:v>
      </x:c>
    </x:row>
    <x:row r="93" ht="15.75" customHeight="1">
      <x:c r="A93" s="4">
        <x:v>5301.0</x:v>
      </x:c>
      <x:c r="B93" s="4" t="s">
        <x:v>301</x:v>
      </x:c>
      <x:c r="C93" s="4" t="s">
        <x:v>342</x:v>
      </x:c>
      <x:c r="D93" s="4" t="s">
        <x:v>421</x:v>
      </x:c>
      <x:c r="E93" s="4" t="s">
        <x:v>19</x:v>
      </x:c>
      <x:c r="F93" s="4">
        <x:v>6.0</x:v>
      </x:c>
      <x:c r="G93" s="4">
        <x:v>7.0</x:v>
      </x:c>
    </x:row>
    <x:row r="94" ht="15.75" customHeight="1">
      <x:c r="A94" s="4">
        <x:v>4896.0</x:v>
      </x:c>
      <x:c r="B94" s="4" t="s">
        <x:v>301</x:v>
      </x:c>
      <x:c r="C94" s="4" t="s">
        <x:v>304</x:v>
      </x:c>
      <x:c r="D94" s="4" t="s">
        <x:v>386</x:v>
      </x:c>
      <x:c r="E94" s="4" t="s">
        <x:v>27</x:v>
      </x:c>
      <x:c r="F94" s="4">
        <x:v>8.0</x:v>
      </x:c>
      <x:c r="G94" s="4">
        <x:v>9.0</x:v>
      </x:c>
      <x:c r="L94" s="7">
        <x:v>1.0</x:v>
      </x:c>
    </x:row>
    <x:row r="95" ht="15.75" customHeight="1">
      <x:c r="A95" s="4">
        <x:v>5457.0</x:v>
      </x:c>
      <x:c r="B95" s="4" t="s">
        <x:v>301</x:v>
      </x:c>
      <x:c r="C95" s="4" t="s">
        <x:v>313</x:v>
      </x:c>
      <x:c r="D95" s="4" t="s">
        <x:v>423</x:v>
      </x:c>
      <x:c r="E95" s="4" t="s">
        <x:v>43</x:v>
      </x:c>
      <x:c r="F95" s="4">
        <x:v>6.0</x:v>
      </x:c>
      <x:c r="G95" s="4">
        <x:v>6.0</x:v>
      </x:c>
    </x:row>
    <x:row r="96" ht="15.75" customHeight="1">
      <x:c r="A96" s="4">
        <x:v>4427.0</x:v>
      </x:c>
      <x:c r="B96" s="4" t="s">
        <x:v>301</x:v>
      </x:c>
      <x:c r="C96" s="4" t="s">
        <x:v>307</x:v>
      </x:c>
      <x:c r="D96" s="4" t="s">
        <x:v>392</x:v>
      </x:c>
      <x:c r="E96" s="4" t="s">
        <x:v>37</x:v>
      </x:c>
      <x:c r="F96" s="4">
        <x:v>8.0</x:v>
      </x:c>
      <x:c r="G96" s="4">
        <x:v>8.0</x:v>
      </x:c>
    </x:row>
    <x:row r="97" ht="15.75" customHeight="1">
      <x:c r="A97" s="4">
        <x:v>1933.0</x:v>
      </x:c>
      <x:c r="B97" s="4" t="s">
        <x:v>301</x:v>
      </x:c>
      <x:c r="C97" s="4" t="s">
        <x:v>313</x:v>
      </x:c>
      <x:c r="D97" s="4" t="s">
        <x:v>323</x:v>
      </x:c>
      <x:c r="E97" s="4" t="s">
        <x:v>29</x:v>
      </x:c>
      <x:c r="F97" s="4">
        <x:v>15.0</x:v>
      </x:c>
      <x:c r="G97" s="4">
        <x:v>14.0</x:v>
      </x:c>
      <x:c r="M97" s="7">
        <x:v>1.0</x:v>
      </x:c>
    </x:row>
    <x:row r="98" ht="15.75" customHeight="1">
      <x:c r="A98" s="4">
        <x:v>6645.0</x:v>
      </x:c>
      <x:c r="B98" s="4" t="s">
        <x:v>301</x:v>
      </x:c>
      <x:c r="C98" s="4" t="s">
        <x:v>310</x:v>
      </x:c>
      <x:c r="D98" s="4" t="s">
        <x:v>487</x:v>
      </x:c>
      <x:c r="E98" s="4" t="s">
        <x:v>43</x:v>
      </x:c>
      <x:c r="F98" s="4">
        <x:v>1.0</x:v>
      </x:c>
      <x:c r="G98" s="4">
        <x:v>1.0</x:v>
      </x:c>
    </x:row>
    <x:row r="99" ht="15.75" customHeight="1">
      <x:c r="A99" s="4">
        <x:v>7149.0</x:v>
      </x:c>
      <x:c r="B99" s="4" t="s">
        <x:v>301</x:v>
      </x:c>
      <x:c r="C99" s="4" t="s">
        <x:v>313</x:v>
      </x:c>
      <x:c r="D99" s="4" t="s">
        <x:v>430</x:v>
      </x:c>
      <x:c r="E99" s="4" t="s">
        <x:v>55</x:v>
      </x:c>
      <x:c r="F99" s="4">
        <x:v>6.0</x:v>
      </x:c>
      <x:c r="G99" s="4">
        <x:v>6.0</x:v>
      </x:c>
    </x:row>
    <x:row r="100" ht="15.75" customHeight="1">
      <x:c r="A100" s="4">
        <x:v>6917.0</x:v>
      </x:c>
      <x:c r="B100" s="4" t="s">
        <x:v>301</x:v>
      </x:c>
      <x:c r="C100" s="4" t="s">
        <x:v>313</x:v>
      </x:c>
      <x:c r="D100" s="4" t="s">
        <x:v>419</x:v>
      </x:c>
      <x:c r="E100" s="4" t="s">
        <x:v>37</x:v>
      </x:c>
      <x:c r="F100" s="4">
        <x:v>6.0</x:v>
      </x:c>
      <x:c r="G100" s="4">
        <x:v>5.0</x:v>
      </x:c>
    </x:row>
    <x:row r="101" ht="15.75" customHeight="1">
      <x:c r="A101" s="4">
        <x:v>2528.0</x:v>
      </x:c>
      <x:c r="B101" s="4" t="s">
        <x:v>301</x:v>
      </x:c>
      <x:c r="C101" s="4" t="s">
        <x:v>313</x:v>
      </x:c>
      <x:c r="D101" s="4" t="s">
        <x:v>465</x:v>
      </x:c>
      <x:c r="E101" s="4" t="s">
        <x:v>49</x:v>
      </x:c>
      <x:c r="F101" s="4">
        <x:v>4.0</x:v>
      </x:c>
      <x:c r="G101" s="4">
        <x:v>4.0</x:v>
      </x:c>
    </x:row>
    <x:row r="102" ht="15.75" customHeight="1">
      <x:c r="A102" s="4">
        <x:v>1976.0</x:v>
      </x:c>
      <x:c r="B102" s="4" t="s">
        <x:v>301</x:v>
      </x:c>
      <x:c r="C102" s="4" t="s">
        <x:v>313</x:v>
      </x:c>
      <x:c r="D102" s="4" t="s">
        <x:v>447</x:v>
      </x:c>
      <x:c r="E102" s="4" t="s">
        <x:v>39</x:v>
      </x:c>
      <x:c r="F102" s="4">
        <x:v>5.0</x:v>
      </x:c>
      <x:c r="G102" s="4">
        <x:v>5.0</x:v>
      </x:c>
    </x:row>
    <x:row r="103" ht="15.75" customHeight="1">
      <x:c r="A103" s="4">
        <x:v>4973.0</x:v>
      </x:c>
      <x:c r="B103" s="4" t="s">
        <x:v>301</x:v>
      </x:c>
      <x:c r="C103" s="4" t="s">
        <x:v>313</x:v>
      </x:c>
      <x:c r="D103" s="4" t="s">
        <x:v>378</x:v>
      </x:c>
      <x:c r="E103" s="4" t="s">
        <x:v>17</x:v>
      </x:c>
      <x:c r="F103" s="4">
        <x:v>9.0</x:v>
      </x:c>
      <x:c r="G103" s="4">
        <x:v>10.0</x:v>
      </x:c>
    </x:row>
    <x:row r="104" ht="15.75" customHeight="1">
      <x:c r="A104" s="4">
        <x:v>4777.0</x:v>
      </x:c>
      <x:c r="B104" s="4" t="s">
        <x:v>301</x:v>
      </x:c>
      <x:c r="C104" s="4" t="s">
        <x:v>307</x:v>
      </x:c>
      <x:c r="D104" s="4" t="s">
        <x:v>308</x:v>
      </x:c>
      <x:c r="E104" s="4" t="s">
        <x:v>23</x:v>
      </x:c>
      <x:c r="F104" s="4">
        <x:v>26.0</x:v>
      </x:c>
      <x:c r="G104" s="4">
        <x:v>26.0</x:v>
      </x:c>
      <x:c r="M104" s="7">
        <x:v>75.0</x:v>
      </x:c>
    </x:row>
    <x:row r="105" ht="15.75" customHeight="1">
      <x:c r="A105" s="4">
        <x:v>4970.0</x:v>
      </x:c>
      <x:c r="B105" s="4" t="s">
        <x:v>301</x:v>
      </x:c>
      <x:c r="C105" s="4" t="s">
        <x:v>401</x:v>
      </x:c>
      <x:c r="D105" s="4" t="s">
        <x:v>402</x:v>
      </x:c>
      <x:c r="E105" s="4" t="s">
        <x:v>37</x:v>
      </x:c>
      <x:c r="F105" s="4">
        <x:v>7.0</x:v>
      </x:c>
      <x:c r="G105" s="4">
        <x:v>8.0</x:v>
      </x:c>
    </x:row>
    <x:row r="106" ht="15.75" customHeight="1">
      <x:c r="A106" s="4">
        <x:v>7208.0</x:v>
      </x:c>
      <x:c r="B106" s="4" t="s">
        <x:v>301</x:v>
      </x:c>
      <x:c r="C106" s="4" t="s">
        <x:v>313</x:v>
      </x:c>
      <x:c r="D106" s="4" t="s">
        <x:v>476</x:v>
      </x:c>
      <x:c r="E106" s="4" t="s">
        <x:v>51</x:v>
      </x:c>
      <x:c r="F106" s="4">
        <x:v>3.0</x:v>
      </x:c>
      <x:c r="G106" s="4">
        <x:v>3.0</x:v>
      </x:c>
    </x:row>
    <x:row r="107" ht="15.75" customHeight="1">
      <x:c r="A107" s="4">
        <x:v>5813.0</x:v>
      </x:c>
      <x:c r="B107" s="4" t="s">
        <x:v>301</x:v>
      </x:c>
      <x:c r="C107" s="4" t="s">
        <x:v>307</x:v>
      </x:c>
      <x:c r="D107" s="4" t="s">
        <x:v>457</x:v>
      </x:c>
      <x:c r="E107" s="4" t="s">
        <x:v>17</x:v>
      </x:c>
      <x:c r="F107" s="4">
        <x:v>4.0</x:v>
      </x:c>
      <x:c r="G107" s="4">
        <x:v>5.0</x:v>
      </x:c>
    </x:row>
    <x:row r="108" ht="15.75" customHeight="1">
      <x:c r="A108" s="4">
        <x:v>2529.0</x:v>
      </x:c>
      <x:c r="B108" s="4" t="s">
        <x:v>301</x:v>
      </x:c>
      <x:c r="C108" s="4" t="s">
        <x:v>307</x:v>
      </x:c>
      <x:c r="D108" s="4" t="s">
        <x:v>377</x:v>
      </x:c>
      <x:c r="E108" s="4" t="s">
        <x:v>19</x:v>
      </x:c>
      <x:c r="F108" s="4">
        <x:v>9.0</x:v>
      </x:c>
      <x:c r="G108" s="4">
        <x:v>9.0</x:v>
      </x:c>
      <x:c r="O108" s="7">
        <x:v>6.0</x:v>
      </x:c>
    </x:row>
    <x:row r="109" ht="15.75" customHeight="1">
      <x:c r="A109" s="4">
        <x:v>2606.0</x:v>
      </x:c>
      <x:c r="B109" s="4" t="s">
        <x:v>301</x:v>
      </x:c>
      <x:c r="C109" s="4" t="s">
        <x:v>301</x:v>
      </x:c>
      <x:c r="D109" s="4" t="s">
        <x:v>336</x:v>
      </x:c>
      <x:c r="E109" s="4" t="s">
        <x:v>21</x:v>
      </x:c>
      <x:c r="F109" s="4">
        <x:v>13.0</x:v>
      </x:c>
      <x:c r="G109" s="4">
        <x:v>12.0</x:v>
      </x:c>
      <x:c r="N109" s="7">
        <x:v>24.0</x:v>
      </x:c>
    </x:row>
    <x:row r="110" ht="15.75" customHeight="1">
      <x:c r="A110" s="4">
        <x:v>6054.0</x:v>
      </x:c>
      <x:c r="B110" s="4" t="s">
        <x:v>301</x:v>
      </x:c>
      <x:c r="C110" s="4" t="s">
        <x:v>313</x:v>
      </x:c>
      <x:c r="D110" s="4" t="s">
        <x:v>468</x:v>
      </x:c>
      <x:c r="E110" s="4" t="s">
        <x:v>33</x:v>
      </x:c>
      <x:c r="F110" s="4">
        <x:v>3.0</x:v>
      </x:c>
      <x:c r="G110" s="4">
        <x:v>3.0</x:v>
      </x:c>
    </x:row>
    <x:row r="111" ht="15.75" customHeight="1">
      <x:c r="A111" s="4">
        <x:v>5295.0</x:v>
      </x:c>
      <x:c r="B111" s="4" t="s">
        <x:v>301</x:v>
      </x:c>
      <x:c r="C111" s="4" t="s">
        <x:v>401</x:v>
      </x:c>
      <x:c r="D111" s="4" t="s">
        <x:v>425</x:v>
      </x:c>
      <x:c r="E111" s="4" t="s">
        <x:v>27</x:v>
      </x:c>
      <x:c r="F111" s="4">
        <x:v>6.0</x:v>
      </x:c>
      <x:c r="G111" s="4">
        <x:v>6.0</x:v>
      </x:c>
    </x:row>
    <x:row r="112" ht="15.75" customHeight="1">
      <x:c r="A112" s="4">
        <x:v>6294.0</x:v>
      </x:c>
      <x:c r="B112" s="4" t="s">
        <x:v>301</x:v>
      </x:c>
      <x:c r="C112" s="4" t="s">
        <x:v>313</x:v>
      </x:c>
      <x:c r="D112" s="4" t="s">
        <x:v>478</x:v>
      </x:c>
      <x:c r="E112" s="4" t="s">
        <x:v>29</x:v>
      </x:c>
      <x:c r="F112" s="4">
        <x:v>2.0</x:v>
      </x:c>
      <x:c r="G112" s="4">
        <x:v>2.0</x:v>
      </x:c>
    </x:row>
    <x:row r="113" ht="15.75" customHeight="1">
      <x:c r="A113" s="4">
        <x:v>6831.0</x:v>
      </x:c>
      <x:c r="B113" s="4" t="s">
        <x:v>301</x:v>
      </x:c>
      <x:c r="C113" s="4" t="s">
        <x:v>302</x:v>
      </x:c>
      <x:c r="D113" s="4" t="s">
        <x:v>337</x:v>
      </x:c>
      <x:c r="E113" s="4" t="s">
        <x:v>23</x:v>
      </x:c>
      <x:c r="F113" s="4">
        <x:v>13.0</x:v>
      </x:c>
      <x:c r="G113" s="4">
        <x:v>13.0</x:v>
      </x:c>
      <x:c r="J113" s="7">
        <x:v>13.0</x:v>
      </x:c>
    </x:row>
    <x:row r="114" ht="15.75" customHeight="1">
      <x:c r="A114" s="4">
        <x:v>5540.0</x:v>
      </x:c>
      <x:c r="B114" s="4" t="s">
        <x:v>301</x:v>
      </x:c>
      <x:c r="C114" s="4" t="s">
        <x:v>313</x:v>
      </x:c>
      <x:c r="D114" s="4" t="s">
        <x:v>475</x:v>
      </x:c>
      <x:c r="E114" s="4" t="s">
        <x:v>57</x:v>
      </x:c>
      <x:c r="F114" s="4">
        <x:v>3.0</x:v>
      </x:c>
      <x:c r="G114" s="4">
        <x:v>3.0</x:v>
      </x:c>
    </x:row>
    <x:row r="115" ht="15.75" customHeight="1">
      <x:c r="A115" s="4">
        <x:v>4349.0</x:v>
      </x:c>
      <x:c r="B115" s="4" t="s">
        <x:v>301</x:v>
      </x:c>
      <x:c r="C115" s="4" t="s">
        <x:v>313</x:v>
      </x:c>
      <x:c r="D115" s="4" t="s">
        <x:v>385</x:v>
      </x:c>
      <x:c r="E115" s="4" t="s">
        <x:v>29</x:v>
      </x:c>
      <x:c r="F115" s="4">
        <x:v>9.0</x:v>
      </x:c>
      <x:c r="G115" s="4">
        <x:v>9.0</x:v>
      </x:c>
    </x:row>
    <x:row r="116" ht="15.75" customHeight="1">
      <x:c r="A116" s="4">
        <x:v>2765.0</x:v>
      </x:c>
      <x:c r="B116" s="4" t="s">
        <x:v>301</x:v>
      </x:c>
      <x:c r="C116" s="4" t="s">
        <x:v>304</x:v>
      </x:c>
      <x:c r="D116" s="4" t="s">
        <x:v>322</x:v>
      </x:c>
      <x:c r="E116" s="4" t="s">
        <x:v>33</x:v>
      </x:c>
      <x:c r="F116" s="4">
        <x:v>15.0</x:v>
      </x:c>
      <x:c r="G116" s="4">
        <x:v>16.0</x:v>
      </x:c>
      <x:c r="H116" s="7">
        <x:v>18.0</x:v>
      </x:c>
    </x:row>
    <x:row r="117" ht="15.75" customHeight="1">
      <x:c r="A117" s="4">
        <x:v>6538.0</x:v>
      </x:c>
      <x:c r="B117" s="4" t="s">
        <x:v>301</x:v>
      </x:c>
      <x:c r="C117" s="4" t="s">
        <x:v>313</x:v>
      </x:c>
      <x:c r="D117" s="4" t="s">
        <x:v>484</x:v>
      </x:c>
      <x:c r="E117" s="4" t="s">
        <x:v>37</x:v>
      </x:c>
      <x:c r="F117" s="4">
        <x:v>2.0</x:v>
      </x:c>
      <x:c r="G117" s="4">
        <x:v>2.0</x:v>
      </x:c>
    </x:row>
    <x:row r="118" ht="15.75" customHeight="1">
      <x:c r="A118" s="4">
        <x:v>6984.0</x:v>
      </x:c>
      <x:c r="B118" s="4" t="s">
        <x:v>301</x:v>
      </x:c>
      <x:c r="C118" s="4" t="s">
        <x:v>302</x:v>
      </x:c>
      <x:c r="D118" s="4" t="s">
        <x:v>344</x:v>
      </x:c>
      <x:c r="E118" s="4" t="s">
        <x:v>45</x:v>
      </x:c>
      <x:c r="F118" s="4">
        <x:v>12.0</x:v>
      </x:c>
      <x:c r="G118" s="4">
        <x:v>13.0</x:v>
      </x:c>
    </x:row>
    <x:row r="119" ht="15.75" customHeight="1">
      <x:c r="A119" s="4">
        <x:v>7138.0</x:v>
      </x:c>
      <x:c r="B119" s="4" t="s">
        <x:v>301</x:v>
      </x:c>
      <x:c r="C119" s="4" t="s">
        <x:v>313</x:v>
      </x:c>
      <x:c r="D119" s="4" t="s">
        <x:v>444</x:v>
      </x:c>
      <x:c r="E119" s="4" t="s">
        <x:v>45</x:v>
      </x:c>
      <x:c r="F119" s="4">
        <x:v>5.0</x:v>
      </x:c>
      <x:c r="G119" s="4">
        <x:v>5.0</x:v>
      </x:c>
    </x:row>
    <x:row r="120" ht="15.75" customHeight="1">
      <x:c r="A120" s="4">
        <x:v>6218.0</x:v>
      </x:c>
      <x:c r="B120" s="4" t="s">
        <x:v>301</x:v>
      </x:c>
      <x:c r="C120" s="4" t="s">
        <x:v>348</x:v>
      </x:c>
      <x:c r="D120" s="4" t="s">
        <x:v>349</x:v>
      </x:c>
      <x:c r="E120" s="4" t="s">
        <x:v>45</x:v>
      </x:c>
      <x:c r="F120" s="4">
        <x:v>12.0</x:v>
      </x:c>
      <x:c r="G120" s="4">
        <x:v>12.0</x:v>
      </x:c>
      <x:c r="O120" s="7">
        <x:v>2.0</x:v>
      </x:c>
    </x:row>
    <x:row r="121" ht="15.75" customHeight="1">
      <x:c r="A121" s="4">
        <x:v>2167.0</x:v>
      </x:c>
      <x:c r="B121" s="4" t="s">
        <x:v>301</x:v>
      </x:c>
      <x:c r="C121" s="4" t="s">
        <x:v>302</x:v>
      </x:c>
      <x:c r="D121" s="4" t="s">
        <x:v>303</x:v>
      </x:c>
      <x:c r="E121" s="4" t="s">
        <x:v>33</x:v>
      </x:c>
      <x:c r="F121" s="4">
        <x:v>30.0</x:v>
      </x:c>
      <x:c r="G121" s="4">
        <x:v>30.0</x:v>
      </x:c>
      <x:c r="I121" s="7">
        <x:v>80.0</x:v>
      </x:c>
    </x:row>
    <x:row r="122" ht="15.75" customHeight="1">
      <x:c r="A122" s="4">
        <x:v>2077.0</x:v>
      </x:c>
      <x:c r="B122" s="4" t="s">
        <x:v>301</x:v>
      </x:c>
      <x:c r="C122" s="4" t="s">
        <x:v>307</x:v>
      </x:c>
      <x:c r="D122" s="4" t="s">
        <x:v>350</x:v>
      </x:c>
      <x:c r="E122" s="4" t="s">
        <x:v>27</x:v>
      </x:c>
      <x:c r="F122" s="4">
        <x:v>11.0</x:v>
      </x:c>
      <x:c r="G122" s="4">
        <x:v>9.0</x:v>
      </x:c>
      <x:c r="N122" s="7">
        <x:v>7.0</x:v>
      </x:c>
    </x:row>
    <x:row r="123" ht="15.75" customHeight="1">
      <x:c r="A123" s="4">
        <x:v>6481.0</x:v>
      </x:c>
      <x:c r="B123" s="4" t="s">
        <x:v>301</x:v>
      </x:c>
      <x:c r="C123" s="4" t="s">
        <x:v>301</x:v>
      </x:c>
      <x:c r="D123" s="4" t="s">
        <x:v>461</x:v>
      </x:c>
      <x:c r="E123" s="4" t="s">
        <x:v>47</x:v>
      </x:c>
      <x:c r="F123" s="4">
        <x:v>4.0</x:v>
      </x:c>
      <x:c r="G123" s="4">
        <x:v>4.0</x:v>
      </x:c>
    </x:row>
    <x:row r="124" ht="15.75" customHeight="1">
      <x:c r="A124" s="4">
        <x:v>6875.0</x:v>
      </x:c>
      <x:c r="B124" s="4" t="s">
        <x:v>301</x:v>
      </x:c>
      <x:c r="C124" s="4" t="s">
        <x:v>304</x:v>
      </x:c>
      <x:c r="D124" s="4" t="s">
        <x:v>315</x:v>
      </x:c>
      <x:c r="E124" s="4" t="s">
        <x:v>35</x:v>
      </x:c>
      <x:c r="F124" s="4">
        <x:v>21.0</x:v>
      </x:c>
      <x:c r="G124" s="4">
        <x:v>20.0</x:v>
      </x:c>
      <x:c r="O124" s="7">
        <x:v>65.0</x:v>
      </x:c>
    </x:row>
    <x:row r="125" ht="15.75" customHeight="1">
      <x:c r="A125" s="4">
        <x:v>530.0</x:v>
      </x:c>
      <x:c r="B125" s="4" t="s">
        <x:v>301</x:v>
      </x:c>
      <x:c r="C125" s="4" t="s">
        <x:v>307</x:v>
      </x:c>
      <x:c r="D125" s="4" t="s">
        <x:v>370</x:v>
      </x:c>
      <x:c r="E125" s="4" t="s">
        <x:v>25</x:v>
      </x:c>
      <x:c r="F125" s="4">
        <x:v>10.0</x:v>
      </x:c>
      <x:c r="G125" s="4">
        <x:v>11.0</x:v>
      </x:c>
      <x:c r="H125" s="7">
        <x:v>1.0</x:v>
      </x:c>
    </x:row>
    <x:row r="126" ht="15.75" customHeight="1">
      <x:c r="A126" s="4">
        <x:v>6151.0</x:v>
      </x:c>
      <x:c r="B126" s="4" t="s">
        <x:v>301</x:v>
      </x:c>
      <x:c r="C126" s="4" t="s">
        <x:v>313</x:v>
      </x:c>
      <x:c r="D126" s="4" t="s">
        <x:v>389</x:v>
      </x:c>
      <x:c r="E126" s="4" t="s">
        <x:v>35</x:v>
      </x:c>
      <x:c r="F126" s="4">
        <x:v>8.0</x:v>
      </x:c>
      <x:c r="G126" s="4">
        <x:v>8.0</x:v>
      </x:c>
    </x:row>
    <x:row r="127" ht="15.75" customHeight="1">
      <x:c r="A127" s="4">
        <x:v>7145.0</x:v>
      </x:c>
      <x:c r="B127" s="4" t="s">
        <x:v>301</x:v>
      </x:c>
      <x:c r="C127" s="4" t="s">
        <x:v>406</x:v>
      </x:c>
      <x:c r="D127" s="4" t="s">
        <x:v>429</x:v>
      </x:c>
      <x:c r="E127" s="4" t="s">
        <x:v>55</x:v>
      </x:c>
      <x:c r="F127" s="4">
        <x:v>6.0</x:v>
      </x:c>
      <x:c r="G127" s="4">
        <x:v>6.0</x:v>
      </x:c>
    </x:row>
    <x:row r="128" ht="15.75" customHeight="1">
      <x:c r="A128" s="4">
        <x:v>6549.0</x:v>
      </x:c>
      <x:c r="B128" s="4" t="s">
        <x:v>301</x:v>
      </x:c>
      <x:c r="C128" s="4" t="s">
        <x:v>302</x:v>
      </x:c>
      <x:c r="D128" s="4" t="s">
        <x:v>367</x:v>
      </x:c>
      <x:c r="E128" s="4" t="s">
        <x:v>43</x:v>
      </x:c>
      <x:c r="F128" s="4">
        <x:v>10.0</x:v>
      </x:c>
      <x:c r="G128" s="4">
        <x:v>10.0</x:v>
      </x:c>
      <x:c r="M128" s="7">
        <x:v>1.0</x:v>
      </x:c>
    </x:row>
    <x:row r="129" ht="15.75" customHeight="1">
      <x:c r="A129" s="4">
        <x:v>6633.0</x:v>
      </x:c>
      <x:c r="B129" s="4" t="s">
        <x:v>301</x:v>
      </x:c>
      <x:c r="C129" s="4" t="s">
        <x:v>313</x:v>
      </x:c>
      <x:c r="D129" s="4" t="s">
        <x:v>424</x:v>
      </x:c>
      <x:c r="E129" s="4" t="s">
        <x:v>43</x:v>
      </x:c>
      <x:c r="F129" s="4">
        <x:v>6.0</x:v>
      </x:c>
      <x:c r="G129" s="4">
        <x:v>6.0</x:v>
      </x:c>
    </x:row>
    <x:row r="130" ht="15.75" customHeight="1">
      <x:c r="A130" s="4">
        <x:v>7198.0</x:v>
      </x:c>
      <x:c r="B130" s="4" t="s">
        <x:v>301</x:v>
      </x:c>
      <x:c r="C130" s="4" t="s">
        <x:v>301</x:v>
      </x:c>
      <x:c r="D130" s="4" t="s">
        <x:v>436</x:v>
      </x:c>
      <x:c r="E130" s="4" t="s">
        <x:v>51</x:v>
      </x:c>
      <x:c r="F130" s="4">
        <x:v>6.0</x:v>
      </x:c>
      <x:c r="G130" s="4">
        <x:v>6.0</x:v>
      </x:c>
    </x:row>
    <x:row r="131" ht="15.75" customHeight="1">
      <x:c r="A131" s="4">
        <x:v>6190.0</x:v>
      </x:c>
      <x:c r="B131" s="4" t="s">
        <x:v>301</x:v>
      </x:c>
      <x:c r="C131" s="4" t="s">
        <x:v>301</x:v>
      </x:c>
      <x:c r="D131" s="4" t="s">
        <x:v>431</x:v>
      </x:c>
      <x:c r="E131" s="4" t="s">
        <x:v>25</x:v>
      </x:c>
      <x:c r="F131" s="4">
        <x:v>6.0</x:v>
      </x:c>
      <x:c r="G131" s="4">
        <x:v>7.0</x:v>
      </x:c>
    </x:row>
    <x:row r="132" ht="15.75" customHeight="1">
      <x:c r="A132" s="4">
        <x:v>5298.0</x:v>
      </x:c>
      <x:c r="B132" s="4" t="s">
        <x:v>301</x:v>
      </x:c>
      <x:c r="C132" s="4" t="s">
        <x:v>313</x:v>
      </x:c>
      <x:c r="D132" s="4" t="s">
        <x:v>400</x:v>
      </x:c>
      <x:c r="E132" s="4" t="s">
        <x:v>33</x:v>
      </x:c>
      <x:c r="F132" s="4">
        <x:v>7.0</x:v>
      </x:c>
      <x:c r="G132" s="4">
        <x:v>8.0</x:v>
      </x:c>
    </x:row>
    <x:row r="133" ht="15.75" customHeight="1">
      <x:c r="A133" s="4">
        <x:v>536.0</x:v>
      </x:c>
      <x:c r="B133" s="4" t="s">
        <x:v>301</x:v>
      </x:c>
      <x:c r="C133" s="4" t="s">
        <x:v>316</x:v>
      </x:c>
      <x:c r="D133" s="4" t="s">
        <x:v>321</x:v>
      </x:c>
      <x:c r="E133" s="4" t="s">
        <x:v>23</x:v>
      </x:c>
      <x:c r="F133" s="4">
        <x:v>16.0</x:v>
      </x:c>
      <x:c r="G133" s="4">
        <x:v>15.0</x:v>
      </x:c>
      <x:c r="J133" s="7">
        <x:v>26.0</x:v>
      </x:c>
    </x:row>
    <x:row r="134" ht="15.75" customHeight="1">
      <x:c r="A134" s="4">
        <x:v>6424.0</x:v>
      </x:c>
      <x:c r="B134" s="4" t="s">
        <x:v>301</x:v>
      </x:c>
      <x:c r="C134" s="4" t="s">
        <x:v>313</x:v>
      </x:c>
      <x:c r="D134" s="4" t="s">
        <x:v>451</x:v>
      </x:c>
      <x:c r="E134" s="4" t="s">
        <x:v>39</x:v>
      </x:c>
      <x:c r="F134" s="4">
        <x:v>4.0</x:v>
      </x:c>
      <x:c r="G134" s="4">
        <x:v>3.0</x:v>
      </x:c>
    </x:row>
    <x:row r="135" ht="15.75" customHeight="1">
      <x:c r="A135" s="4">
        <x:v>2423.0</x:v>
      </x:c>
      <x:c r="B135" s="4" t="s">
        <x:v>301</x:v>
      </x:c>
      <x:c r="C135" s="4" t="s">
        <x:v>304</x:v>
      </x:c>
      <x:c r="D135" s="4" t="s">
        <x:v>305</x:v>
      </x:c>
      <x:c r="E135" s="4" t="s">
        <x:v>21</x:v>
      </x:c>
      <x:c r="F135" s="4">
        <x:v>28.0</x:v>
      </x:c>
      <x:c r="G135" s="4">
        <x:v>28.0</x:v>
      </x:c>
      <x:c r="L135" s="7">
        <x:v>74.0</x:v>
      </x:c>
    </x:row>
    <x:row r="136" ht="15.75" customHeight="1">
      <x:c r="A136" s="4">
        <x:v>2379.0</x:v>
      </x:c>
      <x:c r="B136" s="4" t="s">
        <x:v>301</x:v>
      </x:c>
      <x:c r="C136" s="4" t="s">
        <x:v>307</x:v>
      </x:c>
      <x:c r="D136" s="4" t="s">
        <x:v>312</x:v>
      </x:c>
      <x:c r="E136" s="4" t="s">
        <x:v>21</x:v>
      </x:c>
      <x:c r="F136" s="4">
        <x:v>23.0</x:v>
      </x:c>
      <x:c r="G136" s="4">
        <x:v>23.0</x:v>
      </x:c>
      <x:c r="H136" s="7">
        <x:v>27.0</x:v>
      </x:c>
    </x:row>
    <x:row r="137" ht="15.75" customHeight="1">
      <x:c r="A137" s="4">
        <x:v>6222.0</x:v>
      </x:c>
      <x:c r="B137" s="4" t="s">
        <x:v>301</x:v>
      </x:c>
      <x:c r="C137" s="4" t="s">
        <x:v>307</x:v>
      </x:c>
      <x:c r="D137" s="4" t="s">
        <x:v>471</x:v>
      </x:c>
      <x:c r="E137" s="4" t="s">
        <x:v>43</x:v>
      </x:c>
      <x:c r="F137" s="4">
        <x:v>3.0</x:v>
      </x:c>
      <x:c r="G137" s="4">
        <x:v>3.0</x:v>
      </x:c>
    </x:row>
    <x:row r="138" ht="15.75" customHeight="1">
      <x:c r="A138" s="4">
        <x:v>6394.0</x:v>
      </x:c>
      <x:c r="B138" s="4" t="s">
        <x:v>301</x:v>
      </x:c>
      <x:c r="C138" s="4" t="s">
        <x:v>313</x:v>
      </x:c>
      <x:c r="D138" s="4" t="s">
        <x:v>404</x:v>
      </x:c>
      <x:c r="E138" s="4" t="s">
        <x:v>43</x:v>
      </x:c>
      <x:c r="F138" s="4">
        <x:v>7.0</x:v>
      </x:c>
      <x:c r="G138" s="4">
        <x:v>6.0</x:v>
      </x:c>
    </x:row>
    <x:row r="139" ht="15.75" customHeight="1">
      <x:c r="A139" s="4">
        <x:v>5453.0</x:v>
      </x:c>
      <x:c r="B139" s="4" t="s">
        <x:v>301</x:v>
      </x:c>
      <x:c r="C139" s="4" t="s">
        <x:v>313</x:v>
      </x:c>
      <x:c r="D139" s="4" t="s">
        <x:v>368</x:v>
      </x:c>
      <x:c r="E139" s="4" t="s">
        <x:v>21</x:v>
      </x:c>
      <x:c r="F139" s="4">
        <x:v>10.0</x:v>
      </x:c>
      <x:c r="G139" s="4">
        <x:v>10.0</x:v>
      </x:c>
      <x:c r="N139" s="7">
        <x:v>5.0</x:v>
      </x:c>
    </x:row>
    <x:row r="140" ht="15.75" customHeight="1">
      <x:c r="A140" s="4">
        <x:v>6804.0</x:v>
      </x:c>
      <x:c r="B140" s="4" t="s">
        <x:v>301</x:v>
      </x:c>
      <x:c r="C140" s="4" t="s">
        <x:v>313</x:v>
      </x:c>
      <x:c r="D140" s="4" t="s">
        <x:v>454</x:v>
      </x:c>
      <x:c r="E140" s="4" t="s">
        <x:v>29</x:v>
      </x:c>
      <x:c r="F140" s="4">
        <x:v>4.0</x:v>
      </x:c>
      <x:c r="G140" s="4">
        <x:v>4.0</x:v>
      </x:c>
    </x:row>
    <x:row r="141" ht="15.75" customHeight="1">
      <x:c r="A141" s="4">
        <x:v>2076.0</x:v>
      </x:c>
      <x:c r="B141" s="4" t="s">
        <x:v>301</x:v>
      </x:c>
      <x:c r="C141" s="4" t="s">
        <x:v>313</x:v>
      </x:c>
      <x:c r="D141" s="4" t="s">
        <x:v>490</x:v>
      </x:c>
      <x:c r="E141" s="4" t="s">
        <x:v>39</x:v>
      </x:c>
      <x:c r="F141" s="4">
        <x:v>1.0</x:v>
      </x:c>
      <x:c r="G141" s="4">
        <x:v>1.0</x:v>
      </x:c>
    </x:row>
    <x:row r="142" ht="15.75" customHeight="1">
      <x:c r="A142" s="4">
        <x:v>4459.0</x:v>
      </x:c>
      <x:c r="B142" s="4" t="s">
        <x:v>301</x:v>
      </x:c>
      <x:c r="C142" s="4" t="s">
        <x:v>313</x:v>
      </x:c>
      <x:c r="D142" s="4" t="s">
        <x:v>394</x:v>
      </x:c>
      <x:c r="E142" s="4" t="s">
        <x:v>31</x:v>
      </x:c>
      <x:c r="F142" s="4">
        <x:v>8.0</x:v>
      </x:c>
      <x:c r="G142" s="4">
        <x:v>8.0</x:v>
      </x:c>
      <x:c r="I142" s="7">
        <x:v>1.0</x:v>
      </x:c>
    </x:row>
    <x:row r="143" ht="15.75" customHeight="1">
      <x:c r="A143" s="4">
        <x:v>6844.0</x:v>
      </x:c>
      <x:c r="B143" s="4" t="s">
        <x:v>301</x:v>
      </x:c>
      <x:c r="C143" s="4" t="s">
        <x:v>330</x:v>
      </x:c>
      <x:c r="D143" s="4" t="s">
        <x:v>331</x:v>
      </x:c>
      <x:c r="E143" s="4" t="s">
        <x:v>33</x:v>
      </x:c>
      <x:c r="F143" s="4">
        <x:v>14.0</x:v>
      </x:c>
      <x:c r="G143" s="4">
        <x:v>14.0</x:v>
      </x:c>
      <x:c r="L143" s="7">
        <x:v>8.0</x:v>
      </x:c>
    </x:row>
    <x:row r="144" ht="15.75" customHeight="1">
      <x:c r="A144" s="4">
        <x:v>5788.0</x:v>
      </x:c>
      <x:c r="B144" s="4" t="s">
        <x:v>301</x:v>
      </x:c>
      <x:c r="C144" s="4" t="s">
        <x:v>310</x:v>
      </x:c>
      <x:c r="D144" s="4" t="s">
        <x:v>479</x:v>
      </x:c>
      <x:c r="E144" s="4" t="s">
        <x:v>29</x:v>
      </x:c>
      <x:c r="F144" s="4">
        <x:v>2.0</x:v>
      </x:c>
      <x:c r="G144" s="4">
        <x:v>2.0</x:v>
      </x:c>
    </x:row>
    <x:row r="145" ht="15.75" customHeight="1">
      <x:c r="A145" s="4">
        <x:v>4892.0</x:v>
      </x:c>
      <x:c r="B145" s="4" t="s">
        <x:v>301</x:v>
      </x:c>
      <x:c r="C145" s="4" t="s">
        <x:v>342</x:v>
      </x:c>
      <x:c r="D145" s="4" t="s">
        <x:v>343</x:v>
      </x:c>
      <x:c r="E145" s="4" t="s">
        <x:v>21</x:v>
      </x:c>
      <x:c r="F145" s="4">
        <x:v>12.0</x:v>
      </x:c>
      <x:c r="G145" s="4">
        <x:v>12.0</x:v>
      </x:c>
      <x:c r="M145" s="7">
        <x:v>20.0</x:v>
      </x:c>
    </x:row>
    <x:row r="146" ht="15.75" customHeight="1">
      <x:c r="A146" s="4">
        <x:v>7246.0</x:v>
      </x:c>
      <x:c r="B146" s="4" t="s">
        <x:v>301</x:v>
      </x:c>
      <x:c r="C146" s="4" t="s">
        <x:v>301</x:v>
      </x:c>
      <x:c r="D146" s="4" t="s">
        <x:v>477</x:v>
      </x:c>
      <x:c r="E146" s="4" t="s">
        <x:v>43</x:v>
      </x:c>
      <x:c r="F146" s="4">
        <x:v>3.0</x:v>
      </x:c>
      <x:c r="G146" s="4">
        <x:v>3.0</x:v>
      </x:c>
    </x:row>
    <x:row r="147" ht="15.75" customHeight="1">
      <x:c r="A147" s="4">
        <x:v>5119.0</x:v>
      </x:c>
      <x:c r="B147" s="4" t="s">
        <x:v>301</x:v>
      </x:c>
      <x:c r="C147" s="4" t="s">
        <x:v>310</x:v>
      </x:c>
      <x:c r="D147" s="4" t="s">
        <x:v>351</x:v>
      </x:c>
      <x:c r="E147" s="4" t="s">
        <x:v>27</x:v>
      </x:c>
      <x:c r="F147" s="4">
        <x:v>11.0</x:v>
      </x:c>
      <x:c r="G147" s="4">
        <x:v>12.0</x:v>
      </x:c>
      <x:c r="H147" s="7">
        <x:v>6.0</x:v>
      </x:c>
    </x:row>
    <x:row r="148" ht="15.75" customHeight="1">
      <x:c r="A148" s="4">
        <x:v>7177.0</x:v>
      </x:c>
      <x:c r="B148" s="4" t="s">
        <x:v>301</x:v>
      </x:c>
      <x:c r="C148" s="4" t="s">
        <x:v>301</x:v>
      </x:c>
      <x:c r="D148" s="4" t="s">
        <x:v>483</x:v>
      </x:c>
      <x:c r="E148" s="4" t="s">
        <x:v>57</x:v>
      </x:c>
      <x:c r="F148" s="4">
        <x:v>2.0</x:v>
      </x:c>
      <x:c r="G148" s="4">
        <x:v>2.0</x:v>
      </x:c>
    </x:row>
    <x:row r="149" ht="15.75" customHeight="1">
      <x:c r="A149" s="4">
        <x:v>6528.0</x:v>
      </x:c>
      <x:c r="B149" s="4" t="s">
        <x:v>301</x:v>
      </x:c>
      <x:c r="C149" s="4" t="s">
        <x:v>330</x:v>
      </x:c>
      <x:c r="D149" s="4" t="s">
        <x:v>467</x:v>
      </x:c>
      <x:c r="E149" s="4" t="s">
        <x:v>47</x:v>
      </x:c>
      <x:c r="F149" s="4">
        <x:v>4.0</x:v>
      </x:c>
      <x:c r="G149" s="4">
        <x:v>4.0</x:v>
      </x:c>
    </x:row>
    <x:row r="150" ht="15.75" customHeight="1">
      <x:c r="A150" s="4">
        <x:v>6458.0</x:v>
      </x:c>
      <x:c r="B150" s="4" t="s">
        <x:v>301</x:v>
      </x:c>
      <x:c r="C150" s="4" t="s">
        <x:v>301</x:v>
      </x:c>
      <x:c r="D150" s="4" t="s">
        <x:v>435</x:v>
      </x:c>
      <x:c r="E150" s="4" t="s">
        <x:v>57</x:v>
      </x:c>
      <x:c r="F150" s="4">
        <x:v>6.0</x:v>
      </x:c>
      <x:c r="G150" s="4">
        <x:v>5.0</x:v>
      </x:c>
    </x:row>
    <x:row r="151" ht="15.75" customHeight="1">
      <x:c r="A151" s="4">
        <x:v>4284.0</x:v>
      </x:c>
      <x:c r="B151" s="4" t="s">
        <x:v>301</x:v>
      </x:c>
      <x:c r="C151" s="4" t="s">
        <x:v>313</x:v>
      </x:c>
      <x:c r="D151" s="4" t="s">
        <x:v>452</x:v>
      </x:c>
      <x:c r="E151" s="4" t="s">
        <x:v>35</x:v>
      </x:c>
      <x:c r="F151" s="4">
        <x:v>4.0</x:v>
      </x:c>
      <x:c r="G151" s="4">
        <x:v>4.0</x:v>
      </x:c>
    </x:row>
    <x:row r="152" ht="15.75" customHeight="1">
      <x:c r="A152" s="4">
        <x:v>5319.0</x:v>
      </x:c>
      <x:c r="B152" s="4" t="s">
        <x:v>301</x:v>
      </x:c>
      <x:c r="C152" s="4" t="s">
        <x:v>301</x:v>
      </x:c>
      <x:c r="D152" s="4" t="s">
        <x:v>361</x:v>
      </x:c>
      <x:c r="E152" s="4" t="s">
        <x:v>29</x:v>
      </x:c>
      <x:c r="F152" s="4">
        <x:v>11.0</x:v>
      </x:c>
      <x:c r="G152" s="4">
        <x:v>12.0</x:v>
      </x:c>
    </x:row>
    <x:row r="153" ht="15.75" customHeight="1">
      <x:c r="A153" s="4">
        <x:v>7209.0</x:v>
      </x:c>
      <x:c r="B153" s="4" t="s">
        <x:v>301</x:v>
      </x:c>
      <x:c r="C153" s="4" t="s">
        <x:v>301</x:v>
      </x:c>
      <x:c r="D153" s="4" t="s">
        <x:v>437</x:v>
      </x:c>
      <x:c r="E153" s="4" t="s">
        <x:v>45</x:v>
      </x:c>
      <x:c r="F153" s="4">
        <x:v>6.0</x:v>
      </x:c>
      <x:c r="G153" s="4">
        <x:v>6.0</x:v>
      </x:c>
      <x:c r="N153" s="7">
        <x:v>1.0</x:v>
      </x:c>
    </x:row>
    <x:row r="154" ht="15.75" customHeight="1">
      <x:c r="A154" s="4">
        <x:v>2839.0</x:v>
      </x:c>
      <x:c r="B154" s="4" t="s">
        <x:v>301</x:v>
      </x:c>
      <x:c r="C154" s="4" t="s">
        <x:v>302</x:v>
      </x:c>
      <x:c r="D154" s="4" t="s">
        <x:v>372</x:v>
      </x:c>
      <x:c r="E154" s="4" t="s">
        <x:v>43</x:v>
      </x:c>
      <x:c r="F154" s="4">
        <x:v>10.0</x:v>
      </x:c>
      <x:c r="G154" s="4">
        <x:v>11.0</x:v>
      </x:c>
    </x:row>
    <x:row r="155" ht="15.75" customHeight="1">
      <x:c r="A155" s="4">
        <x:v>7135.0</x:v>
      </x:c>
      <x:c r="B155" s="4" t="s">
        <x:v>301</x:v>
      </x:c>
      <x:c r="C155" s="4" t="s">
        <x:v>307</x:v>
      </x:c>
      <x:c r="D155" s="4" t="s">
        <x:v>393</x:v>
      </x:c>
      <x:c r="E155" s="4" t="s">
        <x:v>37</x:v>
      </x:c>
      <x:c r="F155" s="4">
        <x:v>8.0</x:v>
      </x:c>
      <x:c r="G155" s="4">
        <x:v>8.0</x:v>
      </x:c>
      <x:c r="I155" s="7">
        <x:v>2.0</x:v>
      </x:c>
    </x:row>
    <x:row r="156" ht="15.75" customHeight="1">
      <x:c r="A156" s="4">
        <x:v>5561.0</x:v>
      </x:c>
      <x:c r="B156" s="4" t="s">
        <x:v>301</x:v>
      </x:c>
      <x:c r="C156" s="4" t="s">
        <x:v>330</x:v>
      </x:c>
      <x:c r="D156" s="4" t="s">
        <x:v>362</x:v>
      </x:c>
      <x:c r="E156" s="4" t="s">
        <x:v>55</x:v>
      </x:c>
      <x:c r="F156" s="4">
        <x:v>11.0</x:v>
      </x:c>
      <x:c r="G156" s="4">
        <x:v>11.0</x:v>
      </x:c>
      <x:c r="M156" s="7">
        <x:v>1.0</x:v>
      </x:c>
    </x:row>
    <x:row r="157" ht="15.75" customHeight="1">
      <x:c r="A157" s="4">
        <x:v>7070.0</x:v>
      </x:c>
      <x:c r="B157" s="4" t="s">
        <x:v>301</x:v>
      </x:c>
      <x:c r="C157" s="4" t="s">
        <x:v>301</x:v>
      </x:c>
      <x:c r="D157" s="4" t="s">
        <x:v>376</x:v>
      </x:c>
      <x:c r="E157" s="4" t="s">
        <x:v>19</x:v>
      </x:c>
      <x:c r="F157" s="4">
        <x:v>9.0</x:v>
      </x:c>
      <x:c r="G157" s="4">
        <x:v>9.0</x:v>
      </x:c>
      <x:c r="O157" s="7">
        <x:v>8.0</x:v>
      </x:c>
    </x:row>
    <x:row r="158" ht="15.75" customHeight="1">
      <x:c r="A158" s="4">
        <x:v>6024.0</x:v>
      </x:c>
      <x:c r="B158" s="4" t="s">
        <x:v>301</x:v>
      </x:c>
      <x:c r="C158" s="4" t="s">
        <x:v>313</x:v>
      </x:c>
      <x:c r="D158" s="4" t="s">
        <x:v>449</x:v>
      </x:c>
      <x:c r="E158" s="4" t="s">
        <x:v>33</x:v>
      </x:c>
      <x:c r="F158" s="4">
        <x:v>4.0</x:v>
      </x:c>
      <x:c r="G158" s="4">
        <x:v>4.0</x:v>
      </x:c>
    </x:row>
    <x:row r="159" ht="15.75" customHeight="1">
      <x:c r="A159" s="4">
        <x:v>6486.0</x:v>
      </x:c>
      <x:c r="B159" s="4" t="s">
        <x:v>301</x:v>
      </x:c>
      <x:c r="C159" s="4" t="s">
        <x:v>330</x:v>
      </x:c>
      <x:c r="D159" s="4" t="s">
        <x:v>398</x:v>
      </x:c>
      <x:c r="E159" s="4" t="s">
        <x:v>57</x:v>
      </x:c>
      <x:c r="F159" s="4">
        <x:v>8.0</x:v>
      </x:c>
      <x:c r="G159" s="4">
        <x:v>9.0</x:v>
      </x:c>
    </x:row>
    <x:row r="160" ht="15.75" customHeight="1">
      <x:c r="A160" s="4">
        <x:v>4890.0</x:v>
      </x:c>
      <x:c r="B160" s="4" t="s">
        <x:v>301</x:v>
      </x:c>
      <x:c r="C160" s="4" t="s">
        <x:v>313</x:v>
      </x:c>
      <x:c r="D160" s="4" t="s">
        <x:v>446</x:v>
      </x:c>
      <x:c r="E160" s="4" t="s">
        <x:v>41</x:v>
      </x:c>
      <x:c r="F160" s="4">
        <x:v>5.0</x:v>
      </x:c>
      <x:c r="G160" s="4">
        <x:v>5.0</x:v>
      </x:c>
    </x:row>
    <x:row r="161" ht="15.75" customHeight="1">
      <x:c r="A161" s="4">
        <x:v>6634.0</x:v>
      </x:c>
      <x:c r="B161" s="4" t="s">
        <x:v>301</x:v>
      </x:c>
      <x:c r="C161" s="4" t="s">
        <x:v>316</x:v>
      </x:c>
      <x:c r="D161" s="4" t="s">
        <x:v>379</x:v>
      </x:c>
      <x:c r="E161" s="4" t="s">
        <x:v>43</x:v>
      </x:c>
      <x:c r="F161" s="4">
        <x:v>9.0</x:v>
      </x:c>
      <x:c r="G161" s="4">
        <x:v>9.0</x:v>
      </x:c>
    </x:row>
    <x:row r="162" ht="15.75" customHeight="1">
      <x:c r="A162" s="4">
        <x:v>4404.0</x:v>
      </x:c>
      <x:c r="B162" s="4" t="s">
        <x:v>301</x:v>
      </x:c>
      <x:c r="C162" s="4" t="s">
        <x:v>307</x:v>
      </x:c>
      <x:c r="D162" s="4" t="s">
        <x:v>439</x:v>
      </x:c>
      <x:c r="E162" s="4" t="s">
        <x:v>37</x:v>
      </x:c>
      <x:c r="F162" s="4">
        <x:v>5.0</x:v>
      </x:c>
      <x:c r="G162" s="4">
        <x:v>5.0</x:v>
      </x:c>
    </x:row>
    <x:row r="163" ht="15.75" customHeight="1">
      <x:c r="A163" s="4">
        <x:v>5844.0</x:v>
      </x:c>
      <x:c r="B163" s="4" t="s">
        <x:v>301</x:v>
      </x:c>
      <x:c r="C163" s="4" t="s">
        <x:v>307</x:v>
      </x:c>
      <x:c r="D163" s="4" t="s">
        <x:v>409</x:v>
      </x:c>
      <x:c r="E163" s="4" t="s">
        <x:v>49</x:v>
      </x:c>
      <x:c r="F163" s="4">
        <x:v>7.0</x:v>
      </x:c>
      <x:c r="G163" s="4">
        <x:v>8.0</x:v>
      </x:c>
    </x:row>
    <x:row r="164" ht="15.75" customHeight="1">
      <x:c r="A164" s="4">
        <x:v>5562.0</x:v>
      </x:c>
      <x:c r="B164" s="4" t="s">
        <x:v>301</x:v>
      </x:c>
      <x:c r="C164" s="4" t="s">
        <x:v>313</x:v>
      </x:c>
      <x:c r="D164" s="4" t="s">
        <x:v>319</x:v>
      </x:c>
      <x:c r="E164" s="4" t="s">
        <x:v>17</x:v>
      </x:c>
      <x:c r="F164" s="4">
        <x:v>16.0</x:v>
      </x:c>
      <x:c r="G164" s="4">
        <x:v>16.0</x:v>
      </x:c>
      <x:c r="K164" s="7">
        <x:v>20.0</x:v>
      </x:c>
    </x:row>
    <x:row r="165" ht="15.75" customHeight="1">
      <x:c r="A165" s="4">
        <x:v>7146.0</x:v>
      </x:c>
      <x:c r="B165" s="4" t="s">
        <x:v>301</x:v>
      </x:c>
      <x:c r="C165" s="4" t="s">
        <x:v>406</x:v>
      </x:c>
      <x:c r="D165" s="4" t="s">
        <x:v>407</x:v>
      </x:c>
      <x:c r="E165" s="4" t="s">
        <x:v>55</x:v>
      </x:c>
      <x:c r="F165" s="4">
        <x:v>7.0</x:v>
      </x:c>
      <x:c r="G165" s="4">
        <x:v>6.0</x:v>
      </x:c>
      <x:c r="J165" s="7">
        <x:v>9.0</x:v>
      </x:c>
    </x:row>
    <x:row r="166" ht="15.75" customHeight="1">
      <x:c r="A166" s="4">
        <x:v>5318.0</x:v>
      </x:c>
      <x:c r="B166" s="4" t="s">
        <x:v>301</x:v>
      </x:c>
      <x:c r="C166" s="4" t="s">
        <x:v>330</x:v>
      </x:c>
      <x:c r="D166" s="4" t="s">
        <x:v>345</x:v>
      </x:c>
      <x:c r="E166" s="4" t="s">
        <x:v>55</x:v>
      </x:c>
      <x:c r="F166" s="4">
        <x:v>12.0</x:v>
      </x:c>
      <x:c r="G166" s="4">
        <x:v>12.0</x:v>
      </x:c>
      <x:c r="L166" s="7">
        <x:v>17.0</x:v>
      </x:c>
    </x:row>
    <x:row r="167" ht="15.75" customHeight="1">
      <x:c r="A167" s="4">
        <x:v>2274.0</x:v>
      </x:c>
      <x:c r="B167" s="4" t="s">
        <x:v>301</x:v>
      </x:c>
      <x:c r="C167" s="4" t="s">
        <x:v>307</x:v>
      </x:c>
      <x:c r="D167" s="4" t="s">
        <x:v>418</x:v>
      </x:c>
      <x:c r="E167" s="4" t="s">
        <x:v>47</x:v>
      </x:c>
      <x:c r="F167" s="4">
        <x:v>6.0</x:v>
      </x:c>
      <x:c r="G167" s="4">
        <x:v>7.0</x:v>
      </x:c>
    </x:row>
    <x:row r="168" ht="15.75" customHeight="1">
      <x:c r="A168" s="4">
        <x:v>7133.0</x:v>
      </x:c>
      <x:c r="B168" s="4" t="s">
        <x:v>301</x:v>
      </x:c>
      <x:c r="C168" s="4" t="s">
        <x:v>330</x:v>
      </x:c>
      <x:c r="D168" s="4" t="s">
        <x:v>332</x:v>
      </x:c>
      <x:c r="E168" s="4" t="s">
        <x:v>47</x:v>
      </x:c>
      <x:c r="F168" s="4">
        <x:v>13.0</x:v>
      </x:c>
      <x:c r="G168" s="4">
        <x:v>12.0</x:v>
      </x:c>
      <x:c r="H168" s="7">
        <x:v>6.0</x:v>
      </x:c>
    </x:row>
    <x:row r="169" ht="15.75" customHeight="1">
      <x:c r="A169" s="4">
        <x:v>449.0</x:v>
      </x:c>
      <x:c r="B169" s="4" t="s">
        <x:v>301</x:v>
      </x:c>
      <x:c r="C169" s="4" t="s">
        <x:v>304</x:v>
      </x:c>
      <x:c r="D169" s="4" t="s">
        <x:v>354</x:v>
      </x:c>
      <x:c r="E169" s="4" t="s">
        <x:v>47</x:v>
      </x:c>
      <x:c r="F169" s="4">
        <x:v>11.0</x:v>
      </x:c>
      <x:c r="G169" s="4">
        <x:v>10.0</x:v>
      </x:c>
      <x:c r="K169" s="7">
        <x:v>4.0</x:v>
      </x:c>
    </x:row>
    <x:row r="170" ht="15.75" customHeight="1">
      <x:c r="A170" s="4">
        <x:v>181.0</x:v>
      </x:c>
      <x:c r="B170" s="4" t="s">
        <x:v>301</x:v>
      </x:c>
      <x:c r="C170" s="4" t="s">
        <x:v>313</x:v>
      </x:c>
      <x:c r="D170" s="4" t="s">
        <x:v>422</x:v>
      </x:c>
      <x:c r="E170" s="4" t="s">
        <x:v>31</x:v>
      </x:c>
      <x:c r="F170" s="4">
        <x:v>6.0</x:v>
      </x:c>
      <x:c r="G170" s="4">
        <x:v>6.0</x:v>
      </x:c>
    </x:row>
    <x:row r="171" ht="15.75" customHeight="1">
      <x:c r="A171" s="4">
        <x:v>6980.0</x:v>
      </x:c>
      <x:c r="B171" s="4" t="s">
        <x:v>301</x:v>
      </x:c>
      <x:c r="C171" s="4" t="s">
        <x:v>316</x:v>
      </x:c>
      <x:c r="D171" s="4" t="s">
        <x:v>469</x:v>
      </x:c>
      <x:c r="E171" s="4" t="s">
        <x:v>37</x:v>
      </x:c>
      <x:c r="F171" s="4">
        <x:v>3.0</x:v>
      </x:c>
      <x:c r="G171" s="4">
        <x:v>3.0</x:v>
      </x:c>
    </x:row>
    <x:row r="172" ht="15.75" customHeight="1">
      <x:c r="A172" s="4">
        <x:v>7223.0</x:v>
      </x:c>
      <x:c r="B172" s="4" t="s">
        <x:v>301</x:v>
      </x:c>
      <x:c r="C172" s="4" t="s">
        <x:v>330</x:v>
      </x:c>
      <x:c r="D172" s="4" t="s">
        <x:v>494</x:v>
      </x:c>
      <x:c r="E172" s="4" t="s">
        <x:v>23</x:v>
      </x:c>
      <x:c r="F172" s="4">
        <x:v>1.0</x:v>
      </x:c>
      <x:c r="G172" s="4">
        <x:v>1.0</x:v>
      </x:c>
    </x:row>
    <x:row r="173" ht="15.75" customHeight="1">
      <x:c r="A173" s="4">
        <x:v>5687.0</x:v>
      </x:c>
      <x:c r="B173" s="4" t="s">
        <x:v>301</x:v>
      </x:c>
      <x:c r="C173" s="4" t="s">
        <x:v>310</x:v>
      </x:c>
      <x:c r="D173" s="4" t="s">
        <x:v>329</x:v>
      </x:c>
      <x:c r="E173" s="4" t="s">
        <x:v>41</x:v>
      </x:c>
      <x:c r="F173" s="4">
        <x:v>14.0</x:v>
      </x:c>
      <x:c r="G173" s="4">
        <x:v>15.0</x:v>
      </x:c>
      <x:c r="M173" s="7">
        <x:v>11.0</x:v>
      </x:c>
    </x:row>
    <x:row r="174" ht="15.75" customHeight="1">
      <x:c r="A174" s="4">
        <x:v>5735.0</x:v>
      </x:c>
      <x:c r="B174" s="4" t="s">
        <x:v>301</x:v>
      </x:c>
      <x:c r="C174" s="4" t="s">
        <x:v>330</x:v>
      </x:c>
      <x:c r="D174" s="4" t="s">
        <x:v>434</x:v>
      </x:c>
      <x:c r="E174" s="4" t="s">
        <x:v>49</x:v>
      </x:c>
      <x:c r="F174" s="4">
        <x:v>6.0</x:v>
      </x:c>
      <x:c r="G174" s="4">
        <x:v>5.0</x:v>
      </x:c>
    </x:row>
    <x:row r="175" ht="15.75" customHeight="1">
      <x:c r="A175" s="4">
        <x:v>5610.0</x:v>
      </x:c>
      <x:c r="B175" s="4" t="s">
        <x:v>301</x:v>
      </x:c>
      <x:c r="C175" s="4" t="s">
        <x:v>313</x:v>
      </x:c>
      <x:c r="D175" s="4" t="s">
        <x:v>464</x:v>
      </x:c>
      <x:c r="E175" s="4" t="s">
        <x:v>49</x:v>
      </x:c>
      <x:c r="F175" s="4">
        <x:v>4.0</x:v>
      </x:c>
      <x:c r="G175" s="4">
        <x:v>4.0</x:v>
      </x:c>
    </x:row>
    <x:row r="176" ht="15.75" customHeight="1">
      <x:c r="A176" s="4">
        <x:v>7150.0</x:v>
      </x:c>
      <x:c r="B176" s="4" t="s">
        <x:v>301</x:v>
      </x:c>
      <x:c r="C176" s="4" t="s">
        <x:v>301</x:v>
      </x:c>
      <x:c r="D176" s="4" t="s">
        <x:v>472</x:v>
      </x:c>
      <x:c r="E176" s="4" t="s">
        <x:v>55</x:v>
      </x:c>
      <x:c r="F176" s="4">
        <x:v>3.0</x:v>
      </x:c>
      <x:c r="G176" s="4">
        <x:v>3.0</x:v>
      </x:c>
    </x:row>
    <x:row r="177" ht="15.75" customHeight="1">
      <x:c r="A177" s="4">
        <x:v>632.0</x:v>
      </x:c>
      <x:c r="B177" s="4" t="s">
        <x:v>301</x:v>
      </x:c>
      <x:c r="C177" s="4" t="s">
        <x:v>302</x:v>
      </x:c>
      <x:c r="D177" s="4" t="s">
        <x:v>306</x:v>
      </x:c>
      <x:c r="E177" s="4" t="s">
        <x:v>31</x:v>
      </x:c>
      <x:c r="F177" s="4">
        <x:v>26.0</x:v>
      </x:c>
      <x:c r="G177" s="4">
        <x:v>26.0</x:v>
      </x:c>
      <x:c r="O177" s="7">
        <x:v>64.0</x:v>
      </x:c>
    </x:row>
    <x:row r="178" ht="15.75" customHeight="1">
      <x:c r="A178" s="4">
        <x:v>5422.0</x:v>
      </x:c>
      <x:c r="B178" s="4" t="s">
        <x:v>301</x:v>
      </x:c>
      <x:c r="C178" s="4" t="s">
        <x:v>342</x:v>
      </x:c>
      <x:c r="D178" s="4" t="s">
        <x:v>403</x:v>
      </x:c>
      <x:c r="E178" s="4" t="s">
        <x:v>27</x:v>
      </x:c>
      <x:c r="F178" s="4">
        <x:v>7.0</x:v>
      </x:c>
      <x:c r="G178" s="4">
        <x:v>6.0</x:v>
      </x:c>
      <x:c r="O178" s="7">
        <x:v>1.0</x:v>
      </x:c>
    </x:row>
    <x:row r="179" ht="15.75" customHeight="1">
      <x:c r="A179" s="4">
        <x:v>4220.0</x:v>
      </x:c>
      <x:c r="B179" s="4" t="s">
        <x:v>301</x:v>
      </x:c>
      <x:c r="C179" s="4" t="s">
        <x:v>313</x:v>
      </x:c>
      <x:c r="D179" s="4" t="s">
        <x:v>320</x:v>
      </x:c>
      <x:c r="E179" s="4" t="s">
        <x:v>23</x:v>
      </x:c>
      <x:c r="F179" s="4">
        <x:v>16.0</x:v>
      </x:c>
      <x:c r="G179" s="4">
        <x:v>15.0</x:v>
      </x:c>
      <x:c r="N179" s="7">
        <x:v>25.0</x:v>
      </x:c>
    </x:row>
    <x:row r="180" ht="15.75" customHeight="1">
      <x:c r="A180" s="4">
        <x:v>2766.0</x:v>
      </x:c>
      <x:c r="B180" s="4" t="s">
        <x:v>301</x:v>
      </x:c>
      <x:c r="C180" s="4" t="s">
        <x:v>304</x:v>
      </x:c>
      <x:c r="D180" s="4" t="s">
        <x:v>364</x:v>
      </x:c>
      <x:c r="E180" s="4" t="s">
        <x:v>51</x:v>
      </x:c>
      <x:c r="F180" s="4">
        <x:v>11.0</x:v>
      </x:c>
      <x:c r="G180" s="4">
        <x:v>11.0</x:v>
      </x:c>
    </x:row>
    <x:row r="181" ht="15.75" customHeight="1">
      <x:c r="A181" s="4">
        <x:v>6212.0</x:v>
      </x:c>
      <x:c r="B181" s="4" t="s">
        <x:v>301</x:v>
      </x:c>
      <x:c r="C181" s="4" t="s">
        <x:v>313</x:v>
      </x:c>
      <x:c r="D181" s="4" t="s">
        <x:v>474</x:v>
      </x:c>
      <x:c r="E181" s="4" t="s">
        <x:v>51</x:v>
      </x:c>
      <x:c r="F181" s="4">
        <x:v>3.0</x:v>
      </x:c>
      <x:c r="G181" s="4">
        <x:v>2.0</x:v>
      </x:c>
    </x:row>
    <x:row r="182" ht="15.75" customHeight="1">
      <x:c r="A182" s="4">
        <x:v>5998.0</x:v>
      </x:c>
      <x:c r="B182" s="4" t="s">
        <x:v>301</x:v>
      </x:c>
      <x:c r="C182" s="4" t="s">
        <x:v>342</x:v>
      </x:c>
      <x:c r="D182" s="4" t="s">
        <x:v>443</x:v>
      </x:c>
      <x:c r="E182" s="4" t="s">
        <x:v>47</x:v>
      </x:c>
      <x:c r="F182" s="4">
        <x:v>5.0</x:v>
      </x:c>
      <x:c r="G182" s="4">
        <x:v>3.0</x:v>
      </x:c>
      <x:c r="J182" s="7">
        <x:v>1.0</x:v>
      </x:c>
    </x:row>
    <x:row r="183" ht="15.75" customHeight="1">
      <x:c r="A183" s="4">
        <x:v>5761.0</x:v>
      </x:c>
      <x:c r="B183" s="4" t="s">
        <x:v>301</x:v>
      </x:c>
      <x:c r="C183" s="4" t="s">
        <x:v>316</x:v>
      </x:c>
      <x:c r="D183" s="4" t="s">
        <x:v>317</x:v>
      </x:c>
      <x:c r="E183" s="4" t="s">
        <x:v>17</x:v>
      </x:c>
      <x:c r="F183" s="4">
        <x:v>19.0</x:v>
      </x:c>
      <x:c r="G183" s="4">
        <x:v>19.0</x:v>
      </x:c>
      <x:c r="I183" s="7">
        <x:v>10.0</x:v>
      </x:c>
    </x:row>
    <x:row r="184" ht="15.75" customHeight="1">
      <x:c r="A184" s="4">
        <x:v>152.0</x:v>
      </x:c>
      <x:c r="B184" s="4" t="s">
        <x:v>301</x:v>
      </x:c>
      <x:c r="C184" s="4" t="s">
        <x:v>307</x:v>
      </x:c>
      <x:c r="D184" s="4" t="s">
        <x:v>456</x:v>
      </x:c>
      <x:c r="E184" s="4" t="s">
        <x:v>19</x:v>
      </x:c>
      <x:c r="F184" s="4">
        <x:v>4.0</x:v>
      </x:c>
      <x:c r="G184" s="4">
        <x:v>4.0</x:v>
      </x:c>
    </x:row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8" width="6" customWidth="1"/>
    <x:col min="9" max="9" width="10.289999961853027" customWidth="1"/>
    <x:col min="10" max="10" width="9.289999961853027" customWidth="1"/>
    <x:col min="11" max="11" width="6.429999828338623" customWidth="1"/>
    <x:col min="12" max="12" width="9.569999694824219" customWidth="1"/>
    <x:col min="13" max="13" width="10.140000343322754" customWidth="1"/>
    <x:col min="14" max="14" width="8.569999694824219" customWidth="1"/>
    <x:col min="15" max="15" width="9.430000305175781" customWidth="1"/>
    <x:col min="16" max="20" width="8.710000038146973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3"/>
      <x:c r="H1" s="4" t="n">
        <x:f t="shared" ref="H1:O1" si="1">COUNTA(H3:H102)</x:f>
        <x:v>6</x:v>
      </x:c>
      <x:c r="I1" s="4">
        <x:f t="shared" si="1"/>
        <x:v>6</x:v>
      </x:c>
      <x:c r="J1" s="4">
        <x:f t="shared" si="1"/>
        <x:v>6</x:v>
      </x:c>
      <x:c r="K1" s="4">
        <x:f t="shared" si="1"/>
        <x:v>6</x:v>
      </x:c>
      <x:c r="L1" s="4">
        <x:f t="shared" si="1"/>
        <x:v>6</x:v>
      </x:c>
      <x:c r="M1" s="4">
        <x:f t="shared" si="1"/>
        <x:v>6</x:v>
      </x:c>
      <x:c r="N1" s="4">
        <x:f t="shared" si="1"/>
        <x:v>6</x:v>
      </x:c>
      <x:c r="O1" s="4">
        <x:f t="shared" si="1"/>
        <x:v>6</x:v>
      </x:c>
    </x:row>
    <x:row r="2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5" t="s">
        <x:v>598</x:v>
      </x:c>
      <x:c r="I2" s="5" t="s">
        <x:v>599</x:v>
      </x:c>
      <x:c r="J2" s="5" t="s">
        <x:v>600</x:v>
      </x:c>
      <x:c r="K2" s="6" t="s">
        <x:v>601</x:v>
      </x:c>
      <x:c r="L2" s="5" t="s">
        <x:v>602</x:v>
      </x:c>
      <x:c r="M2" s="5" t="s">
        <x:v>603</x:v>
      </x:c>
      <x:c r="N2" s="5" t="s">
        <x:v>604</x:v>
      </x:c>
      <x:c r="O2" s="5" t="s">
        <x:v>605</x:v>
      </x:c>
    </x:row>
    <x:row r="3">
      <x:c r="A3" s="4">
        <x:v>7183.0</x:v>
      </x:c>
      <x:c r="B3" s="4" t="s">
        <x:v>496</x:v>
      </x:c>
      <x:c r="C3" s="4" t="s">
        <x:v>496</x:v>
      </x:c>
      <x:c r="D3" s="4" t="s">
        <x:v>558</x:v>
      </x:c>
      <x:c r="E3" s="4" t="s">
        <x:v>41</x:v>
      </x:c>
      <x:c r="F3" s="4">
        <x:v>8.0</x:v>
      </x:c>
      <x:c r="G3" s="4">
        <x:v>9.0</x:v>
      </x:c>
    </x:row>
    <x:row r="4">
      <x:c r="A4" s="4">
        <x:v>6646.0</x:v>
      </x:c>
      <x:c r="B4" s="4" t="s">
        <x:v>496</x:v>
      </x:c>
      <x:c r="C4" s="4" t="s">
        <x:v>496</x:v>
      </x:c>
      <x:c r="D4" s="4" t="s">
        <x:v>537</x:v>
      </x:c>
      <x:c r="E4" s="4" t="s">
        <x:v>41</x:v>
      </x:c>
      <x:c r="F4" s="4">
        <x:v>13.0</x:v>
      </x:c>
      <x:c r="G4" s="4">
        <x:v>14.0</x:v>
      </x:c>
    </x:row>
    <x:row r="5">
      <x:c r="A5" s="4">
        <x:v>7127.0</x:v>
      </x:c>
      <x:c r="B5" s="4" t="s">
        <x:v>496</x:v>
      </x:c>
      <x:c r="C5" s="4" t="s">
        <x:v>302</x:v>
      </x:c>
      <x:c r="D5" s="4" t="s">
        <x:v>564</x:v>
      </x:c>
      <x:c r="E5" s="4" t="s">
        <x:v>35</x:v>
      </x:c>
      <x:c r="F5" s="4">
        <x:v>6.0</x:v>
      </x:c>
      <x:c r="G5" s="4">
        <x:v>7.0</x:v>
      </x:c>
    </x:row>
    <x:row r="6">
      <x:c r="A6" s="4">
        <x:v>6207.0</x:v>
      </x:c>
      <x:c r="B6" s="4" t="s">
        <x:v>496</x:v>
      </x:c>
      <x:c r="C6" s="4" t="s">
        <x:v>302</x:v>
      </x:c>
      <x:c r="D6" s="4" t="s">
        <x:v>576</x:v>
      </x:c>
      <x:c r="E6" s="4" t="s">
        <x:v>45</x:v>
      </x:c>
      <x:c r="F6" s="4">
        <x:v>5.0</x:v>
      </x:c>
      <x:c r="G6" s="4">
        <x:v>4.0</x:v>
      </x:c>
    </x:row>
    <x:row r="7">
      <x:c r="A7" s="4">
        <x:v>7264.0</x:v>
      </x:c>
      <x:c r="B7" s="4" t="s">
        <x:v>496</x:v>
      </x:c>
      <x:c r="C7" s="4" t="s">
        <x:v>497</x:v>
      </x:c>
      <x:c r="D7" s="4" t="s">
        <x:v>595</x:v>
      </x:c>
      <x:c r="E7" s="4" t="s">
        <x:v>23</x:v>
      </x:c>
      <x:c r="F7" s="4">
        <x:v>1.0</x:v>
      </x:c>
      <x:c r="G7" s="4">
        <x:v>1.0</x:v>
      </x:c>
    </x:row>
    <x:row r="8">
      <x:c r="A8" s="4">
        <x:v>7277.0</x:v>
      </x:c>
      <x:c r="B8" s="4" t="s">
        <x:v>496</x:v>
      </x:c>
      <x:c r="C8" s="4" t="s">
        <x:v>497</x:v>
      </x:c>
      <x:c r="D8" s="4" t="s">
        <x:v>597</x:v>
      </x:c>
      <x:c r="E8" s="4" t="s">
        <x:v>25</x:v>
      </x:c>
      <x:c r="F8" s="4">
        <x:v>1.0</x:v>
      </x:c>
      <x:c r="G8" s="4">
        <x:v>1.0</x:v>
      </x:c>
    </x:row>
    <x:row r="9">
      <x:c r="A9" s="4">
        <x:v>7262.0</x:v>
      </x:c>
      <x:c r="B9" s="4" t="s">
        <x:v>496</x:v>
      </x:c>
      <x:c r="C9" s="4" t="s">
        <x:v>496</x:v>
      </x:c>
      <x:c r="D9" s="4" t="s">
        <x:v>594</x:v>
      </x:c>
      <x:c r="E9" s="4" t="s">
        <x:v>21</x:v>
      </x:c>
      <x:c r="F9" s="4">
        <x:v>1.0</x:v>
      </x:c>
      <x:c r="G9" s="4">
        <x:v>1.0</x:v>
      </x:c>
    </x:row>
    <x:row r="10">
      <x:c r="A10" s="4">
        <x:v>6001.0</x:v>
      </x:c>
      <x:c r="B10" s="4" t="s">
        <x:v>496</x:v>
      </x:c>
      <x:c r="C10" s="4" t="s">
        <x:v>302</x:v>
      </x:c>
      <x:c r="D10" s="4" t="s">
        <x:v>575</x:v>
      </x:c>
      <x:c r="E10" s="4" t="s">
        <x:v>43</x:v>
      </x:c>
      <x:c r="F10" s="4">
        <x:v>5.0</x:v>
      </x:c>
      <x:c r="G10" s="4">
        <x:v>5.0</x:v>
      </x:c>
    </x:row>
    <x:row r="11">
      <x:c r="A11" s="4">
        <x:v>7161.0</x:v>
      </x:c>
      <x:c r="B11" s="4" t="s">
        <x:v>496</x:v>
      </x:c>
      <x:c r="C11" s="4" t="s">
        <x:v>497</x:v>
      </x:c>
      <x:c r="D11" s="4" t="s">
        <x:v>580</x:v>
      </x:c>
      <x:c r="E11" s="4" t="s">
        <x:v>51</x:v>
      </x:c>
      <x:c r="F11" s="4">
        <x:v>4.0</x:v>
      </x:c>
      <x:c r="G11" s="4">
        <x:v>4.0</x:v>
      </x:c>
    </x:row>
    <x:row r="12">
      <x:c r="A12" s="4">
        <x:v>441.0</x:v>
      </x:c>
      <x:c r="B12" s="4" t="s">
        <x:v>496</x:v>
      </x:c>
      <x:c r="C12" s="4" t="s">
        <x:v>497</x:v>
      </x:c>
      <x:c r="D12" s="4" t="s">
        <x:v>542</x:v>
      </x:c>
      <x:c r="E12" s="4" t="s">
        <x:v>39</x:v>
      </x:c>
      <x:c r="F12" s="4">
        <x:v>12.0</x:v>
      </x:c>
      <x:c r="G12" s="4">
        <x:v>12.0</x:v>
      </x:c>
      <x:c r="M12" s="7">
        <x:v>5.0</x:v>
      </x:c>
    </x:row>
    <x:row r="13">
      <x:c r="A13" s="4">
        <x:v>6667.0</x:v>
      </x:c>
      <x:c r="B13" s="4" t="s">
        <x:v>496</x:v>
      </x:c>
      <x:c r="C13" s="4" t="s">
        <x:v>496</x:v>
      </x:c>
      <x:c r="D13" s="4" t="s">
        <x:v>589</x:v>
      </x:c>
      <x:c r="E13" s="4" t="s">
        <x:v>45</x:v>
      </x:c>
      <x:c r="F13" s="4">
        <x:v>1.0</x:v>
      </x:c>
      <x:c r="G13" s="4">
        <x:v>1.0</x:v>
      </x:c>
    </x:row>
    <x:row r="14">
      <x:c r="A14" s="4">
        <x:v>531.0</x:v>
      </x:c>
      <x:c r="B14" s="4" t="s">
        <x:v>496</x:v>
      </x:c>
      <x:c r="C14" s="4" t="s">
        <x:v>496</x:v>
      </x:c>
      <x:c r="D14" s="4" t="s">
        <x:v>514</x:v>
      </x:c>
      <x:c r="E14" s="4" t="s">
        <x:v>49</x:v>
      </x:c>
      <x:c r="F14" s="4">
        <x:v>21.0</x:v>
      </x:c>
      <x:c r="G14" s="4">
        <x:v>21.0</x:v>
      </x:c>
      <x:c r="I14" s="7">
        <x:v>61.0</x:v>
      </x:c>
    </x:row>
    <x:row r="15">
      <x:c r="A15" s="4">
        <x:v>505.0</x:v>
      </x:c>
      <x:c r="B15" s="4" t="s">
        <x:v>496</x:v>
      </x:c>
      <x:c r="C15" s="4" t="s">
        <x:v>496</x:v>
      </x:c>
      <x:c r="D15" s="4" t="s">
        <x:v>582</x:v>
      </x:c>
      <x:c r="E15" s="4" t="s">
        <x:v>47</x:v>
      </x:c>
      <x:c r="F15" s="4">
        <x:v>3.0</x:v>
      </x:c>
      <x:c r="G15" s="4">
        <x:v>1.0</x:v>
      </x:c>
    </x:row>
    <x:row r="16">
      <x:c r="A16" s="4">
        <x:v>6669.0</x:v>
      </x:c>
      <x:c r="B16" s="4" t="s">
        <x:v>496</x:v>
      </x:c>
      <x:c r="C16" s="4" t="s">
        <x:v>497</x:v>
      </x:c>
      <x:c r="D16" s="4" t="s">
        <x:v>560</x:v>
      </x:c>
      <x:c r="E16" s="4" t="s">
        <x:v>19</x:v>
      </x:c>
      <x:c r="F16" s="4">
        <x:v>7.0</x:v>
      </x:c>
      <x:c r="G16" s="4">
        <x:v>5.0</x:v>
      </x:c>
      <x:c r="L16" s="7">
        <x:v>1.0</x:v>
      </x:c>
    </x:row>
    <x:row r="17">
      <x:c r="A17" s="4">
        <x:v>6243.0</x:v>
      </x:c>
      <x:c r="B17" s="4" t="s">
        <x:v>496</x:v>
      </x:c>
      <x:c r="C17" s="4" t="s">
        <x:v>497</x:v>
      </x:c>
      <x:c r="D17" s="4" t="s">
        <x:v>574</x:v>
      </x:c>
      <x:c r="E17" s="4" t="s">
        <x:v>39</x:v>
      </x:c>
      <x:c r="F17" s="4">
        <x:v>5.0</x:v>
      </x:c>
      <x:c r="G17" s="4">
        <x:v>5.0</x:v>
      </x:c>
    </x:row>
    <x:row r="18">
      <x:c r="A18" s="4">
        <x:v>6653.0</x:v>
      </x:c>
      <x:c r="B18" s="4" t="s">
        <x:v>496</x:v>
      </x:c>
      <x:c r="C18" s="4" t="s">
        <x:v>496</x:v>
      </x:c>
      <x:c r="D18" s="4" t="s">
        <x:v>570</x:v>
      </x:c>
      <x:c r="E18" s="4" t="s">
        <x:v>51</x:v>
      </x:c>
      <x:c r="F18" s="4">
        <x:v>6.0</x:v>
      </x:c>
      <x:c r="G18" s="4">
        <x:v>6.0</x:v>
      </x:c>
    </x:row>
    <x:row r="19">
      <x:c r="A19" s="4">
        <x:v>7171.0</x:v>
      </x:c>
      <x:c r="B19" s="4" t="s">
        <x:v>496</x:v>
      </x:c>
      <x:c r="C19" s="4" t="s">
        <x:v>496</x:v>
      </x:c>
      <x:c r="D19" s="4" t="s">
        <x:v>590</x:v>
      </x:c>
      <x:c r="E19" s="4" t="s">
        <x:v>55</x:v>
      </x:c>
      <x:c r="F19" s="4">
        <x:v>1.0</x:v>
      </x:c>
      <x:c r="G19" s="4">
        <x:v>1.0</x:v>
      </x:c>
    </x:row>
    <x:row r="20">
      <x:c r="A20" s="4">
        <x:v>7249.0</x:v>
      </x:c>
      <x:c r="B20" s="4" t="s">
        <x:v>496</x:v>
      </x:c>
      <x:c r="C20" s="4" t="s">
        <x:v>497</x:v>
      </x:c>
      <x:c r="D20" s="4" t="s">
        <x:v>551</x:v>
      </x:c>
      <x:c r="E20" s="4" t="s">
        <x:v>51</x:v>
      </x:c>
      <x:c r="F20" s="4">
        <x:v>9.0</x:v>
      </x:c>
      <x:c r="G20" s="4">
        <x:v>9.0</x:v>
      </x:c>
    </x:row>
    <x:row r="21" ht="15.75" customHeight="1">
      <x:c r="A21" s="4">
        <x:v>6519.0</x:v>
      </x:c>
      <x:c r="B21" s="4" t="s">
        <x:v>496</x:v>
      </x:c>
      <x:c r="C21" s="4" t="s">
        <x:v>497</x:v>
      </x:c>
      <x:c r="D21" s="4" t="s">
        <x:v>547</x:v>
      </x:c>
      <x:c r="E21" s="4" t="s">
        <x:v>43</x:v>
      </x:c>
      <x:c r="F21" s="4">
        <x:v>11.0</x:v>
      </x:c>
      <x:c r="G21" s="4">
        <x:v>12.0</x:v>
      </x:c>
      <x:c r="O21" s="7">
        <x:v>1.0</x:v>
      </x:c>
    </x:row>
    <x:row r="22" ht="15.75" customHeight="1">
      <x:c r="A22" s="4">
        <x:v>4436.0</x:v>
      </x:c>
      <x:c r="B22" s="4" t="s">
        <x:v>496</x:v>
      </x:c>
      <x:c r="C22" s="4" t="s">
        <x:v>496</x:v>
      </x:c>
      <x:c r="D22" s="4" t="s">
        <x:v>543</x:v>
      </x:c>
      <x:c r="E22" s="4" t="s">
        <x:v>33</x:v>
      </x:c>
      <x:c r="F22" s="4">
        <x:v>11.0</x:v>
      </x:c>
      <x:c r="G22" s="4">
        <x:v>11.0</x:v>
      </x:c>
    </x:row>
    <x:row r="23" ht="15.75" customHeight="1">
      <x:c r="A23" s="4">
        <x:v>5500.0</x:v>
      </x:c>
      <x:c r="B23" s="4" t="s">
        <x:v>496</x:v>
      </x:c>
      <x:c r="C23" s="4" t="s">
        <x:v>302</x:v>
      </x:c>
      <x:c r="D23" s="4" t="s">
        <x:v>577</x:v>
      </x:c>
      <x:c r="E23" s="4" t="s">
        <x:v>31</x:v>
      </x:c>
      <x:c r="F23" s="4">
        <x:v>4.0</x:v>
      </x:c>
      <x:c r="G23" s="4">
        <x:v>3.0</x:v>
      </x:c>
    </x:row>
    <x:row r="24" ht="15.75" customHeight="1">
      <x:c r="A24" s="4">
        <x:v>6226.0</x:v>
      </x:c>
      <x:c r="B24" s="4" t="s">
        <x:v>496</x:v>
      </x:c>
      <x:c r="C24" s="4" t="s">
        <x:v>497</x:v>
      </x:c>
      <x:c r="D24" s="4" t="s">
        <x:v>510</x:v>
      </x:c>
      <x:c r="E24" s="4" t="s">
        <x:v>31</x:v>
      </x:c>
      <x:c r="F24" s="4">
        <x:v>22.0</x:v>
      </x:c>
      <x:c r="G24" s="4">
        <x:v>21.0</x:v>
      </x:c>
      <x:c r="O24" s="7">
        <x:v>92.0</x:v>
      </x:c>
    </x:row>
    <x:row r="25" ht="15.75" customHeight="1">
      <x:c r="A25" s="4">
        <x:v>6572.0</x:v>
      </x:c>
      <x:c r="B25" s="4" t="s">
        <x:v>496</x:v>
      </x:c>
      <x:c r="C25" s="4" t="s">
        <x:v>497</x:v>
      </x:c>
      <x:c r="D25" s="4" t="s">
        <x:v>516</x:v>
      </x:c>
      <x:c r="E25" s="4" t="s">
        <x:v>33</x:v>
      </x:c>
      <x:c r="F25" s="4">
        <x:v>20.0</x:v>
      </x:c>
      <x:c r="G25" s="4">
        <x:v>19.0</x:v>
      </x:c>
      <x:c r="N25" s="7">
        <x:v>40.0</x:v>
      </x:c>
    </x:row>
    <x:row r="26" ht="15.75" customHeight="1">
      <x:c r="A26" s="4">
        <x:v>6439.0</x:v>
      </x:c>
      <x:c r="B26" s="4" t="s">
        <x:v>496</x:v>
      </x:c>
      <x:c r="C26" s="4" t="s">
        <x:v>497</x:v>
      </x:c>
      <x:c r="D26" s="4" t="s">
        <x:v>581</x:v>
      </x:c>
      <x:c r="E26" s="4" t="s">
        <x:v>49</x:v>
      </x:c>
      <x:c r="F26" s="4">
        <x:v>4.0</x:v>
      </x:c>
      <x:c r="G26" s="4">
        <x:v>4.0</x:v>
      </x:c>
    </x:row>
    <x:row r="27" ht="15.75" customHeight="1">
      <x:c r="A27" s="4">
        <x:v>4923.0</x:v>
      </x:c>
      <x:c r="B27" s="4" t="s">
        <x:v>496</x:v>
      </x:c>
      <x:c r="C27" s="4" t="s">
        <x:v>497</x:v>
      </x:c>
      <x:c r="D27" s="4" t="s">
        <x:v>545</x:v>
      </x:c>
      <x:c r="E27" s="4" t="s">
        <x:v>37</x:v>
      </x:c>
      <x:c r="F27" s="4">
        <x:v>11.0</x:v>
      </x:c>
      <x:c r="G27" s="4">
        <x:v>12.0</x:v>
      </x:c>
      <x:c r="N27" s="7">
        <x:v>5.0</x:v>
      </x:c>
    </x:row>
    <x:row r="28" ht="15.75" customHeight="1">
      <x:c r="A28" s="4">
        <x:v>2155.0</x:v>
      </x:c>
      <x:c r="B28" s="4" t="s">
        <x:v>496</x:v>
      </x:c>
      <x:c r="C28" s="4" t="s">
        <x:v>497</x:v>
      </x:c>
      <x:c r="D28" s="4" t="s">
        <x:v>544</x:v>
      </x:c>
      <x:c r="E28" s="4" t="s">
        <x:v>45</x:v>
      </x:c>
      <x:c r="F28" s="4">
        <x:v>11.0</x:v>
      </x:c>
      <x:c r="G28" s="4">
        <x:v>10.0</x:v>
      </x:c>
      <x:c r="H28" s="7">
        <x:v>1.0</x:v>
      </x:c>
    </x:row>
    <x:row r="29" ht="15.75" customHeight="1">
      <x:c r="A29" s="4">
        <x:v>6643.0</x:v>
      </x:c>
      <x:c r="B29" s="4" t="s">
        <x:v>496</x:v>
      </x:c>
      <x:c r="C29" s="4" t="s">
        <x:v>497</x:v>
      </x:c>
      <x:c r="D29" s="4" t="s">
        <x:v>548</x:v>
      </x:c>
      <x:c r="E29" s="4" t="s">
        <x:v>33</x:v>
      </x:c>
      <x:c r="F29" s="4">
        <x:v>10.0</x:v>
      </x:c>
      <x:c r="G29" s="4">
        <x:v>10.0</x:v>
      </x:c>
    </x:row>
    <x:row r="30" ht="15.75" customHeight="1">
      <x:c r="A30" s="4">
        <x:v>5544.0</x:v>
      </x:c>
      <x:c r="B30" s="4" t="s">
        <x:v>496</x:v>
      </x:c>
      <x:c r="C30" s="4" t="s">
        <x:v>497</x:v>
      </x:c>
      <x:c r="D30" s="4" t="s">
        <x:v>503</x:v>
      </x:c>
      <x:c r="E30" s="4" t="s">
        <x:v>17</x:v>
      </x:c>
      <x:c r="F30" s="4">
        <x:v>27.0</x:v>
      </x:c>
      <x:c r="G30" s="4">
        <x:v>27.0</x:v>
      </x:c>
      <x:c r="M30" s="7">
        <x:v>93.0</x:v>
      </x:c>
    </x:row>
    <x:row r="31" ht="15.75" customHeight="1">
      <x:c r="A31" s="4">
        <x:v>5637.0</x:v>
      </x:c>
      <x:c r="B31" s="4" t="s">
        <x:v>496</x:v>
      </x:c>
      <x:c r="C31" s="4" t="s">
        <x:v>497</x:v>
      </x:c>
      <x:c r="D31" s="4" t="s">
        <x:v>538</x:v>
      </x:c>
      <x:c r="E31" s="4" t="s">
        <x:v>51</x:v>
      </x:c>
      <x:c r="F31" s="4">
        <x:v>13.0</x:v>
      </x:c>
      <x:c r="G31" s="4">
        <x:v>12.0</x:v>
      </x:c>
      <x:c r="H31" s="7">
        <x:v>18.0</x:v>
      </x:c>
    </x:row>
    <x:row r="32" ht="15.75" customHeight="1">
      <x:c r="A32" s="4">
        <x:v>5995.0</x:v>
      </x:c>
      <x:c r="B32" s="4" t="s">
        <x:v>496</x:v>
      </x:c>
      <x:c r="C32" s="4" t="s">
        <x:v>496</x:v>
      </x:c>
      <x:c r="D32" s="4" t="s">
        <x:v>512</x:v>
      </x:c>
      <x:c r="E32" s="4" t="s">
        <x:v>27</x:v>
      </x:c>
      <x:c r="F32" s="4">
        <x:v>21.0</x:v>
      </x:c>
      <x:c r="G32" s="4">
        <x:v>22.0</x:v>
      </x:c>
      <x:c r="K32" s="7">
        <x:v>31.0</x:v>
      </x:c>
    </x:row>
    <x:row r="33" ht="15.75" customHeight="1">
      <x:c r="A33" s="4">
        <x:v>5512.0</x:v>
      </x:c>
      <x:c r="B33" s="4" t="s">
        <x:v>496</x:v>
      </x:c>
      <x:c r="C33" s="4" t="s">
        <x:v>497</x:v>
      </x:c>
      <x:c r="D33" s="4" t="s">
        <x:v>550</x:v>
      </x:c>
      <x:c r="E33" s="4" t="s">
        <x:v>47</x:v>
      </x:c>
      <x:c r="F33" s="4">
        <x:v>9.0</x:v>
      </x:c>
      <x:c r="G33" s="4">
        <x:v>8.0</x:v>
      </x:c>
    </x:row>
    <x:row r="34" ht="15.75" customHeight="1">
      <x:c r="A34" s="4">
        <x:v>5672.0</x:v>
      </x:c>
      <x:c r="B34" s="4" t="s">
        <x:v>496</x:v>
      </x:c>
      <x:c r="C34" s="4" t="s">
        <x:v>497</x:v>
      </x:c>
      <x:c r="D34" s="4" t="s">
        <x:v>513</x:v>
      </x:c>
      <x:c r="E34" s="4" t="s">
        <x:v>31</x:v>
      </x:c>
      <x:c r="F34" s="4">
        <x:v>21.0</x:v>
      </x:c>
      <x:c r="G34" s="4">
        <x:v>20.0</x:v>
      </x:c>
      <x:c r="O34" s="7">
        <x:v>8.0</x:v>
      </x:c>
    </x:row>
    <x:row r="35" ht="15.75" customHeight="1">
      <x:c r="A35" s="4">
        <x:v>6967.0</x:v>
      </x:c>
      <x:c r="B35" s="4" t="s">
        <x:v>496</x:v>
      </x:c>
      <x:c r="C35" s="4" t="s">
        <x:v>302</x:v>
      </x:c>
      <x:c r="D35" s="4" t="s">
        <x:v>527</x:v>
      </x:c>
      <x:c r="E35" s="4" t="s">
        <x:v>35</x:v>
      </x:c>
      <x:c r="F35" s="4">
        <x:v>16.0</x:v>
      </x:c>
      <x:c r="G35" s="4">
        <x:v>17.0</x:v>
      </x:c>
    </x:row>
    <x:row r="36" ht="15.75" customHeight="1">
      <x:c r="A36" s="4">
        <x:v>5471.0</x:v>
      </x:c>
      <x:c r="B36" s="4" t="s">
        <x:v>496</x:v>
      </x:c>
      <x:c r="C36" s="4" t="s">
        <x:v>497</x:v>
      </x:c>
      <x:c r="D36" s="4" t="s">
        <x:v>555</x:v>
      </x:c>
      <x:c r="E36" s="4" t="s">
        <x:v>45</x:v>
      </x:c>
      <x:c r="F36" s="4">
        <x:v>8.0</x:v>
      </x:c>
      <x:c r="G36" s="4">
        <x:v>9.0</x:v>
      </x:c>
    </x:row>
    <x:row r="37" ht="15.75" customHeight="1">
      <x:c r="A37" s="4">
        <x:v>6895.0</x:v>
      </x:c>
      <x:c r="B37" s="4" t="s">
        <x:v>496</x:v>
      </x:c>
      <x:c r="C37" s="4" t="s">
        <x:v>302</x:v>
      </x:c>
      <x:c r="D37" s="4" t="s">
        <x:v>553</x:v>
      </x:c>
      <x:c r="E37" s="4" t="s">
        <x:v>33</x:v>
      </x:c>
      <x:c r="F37" s="4">
        <x:v>8.0</x:v>
      </x:c>
      <x:c r="G37" s="4">
        <x:v>9.0</x:v>
      </x:c>
    </x:row>
    <x:row r="38" ht="15.75" customHeight="1">
      <x:c r="A38" s="4">
        <x:v>7017.0</x:v>
      </x:c>
      <x:c r="B38" s="4" t="s">
        <x:v>496</x:v>
      </x:c>
      <x:c r="C38" s="4" t="s">
        <x:v>497</x:v>
      </x:c>
      <x:c r="D38" s="4" t="s">
        <x:v>549</x:v>
      </x:c>
      <x:c r="E38" s="4" t="s">
        <x:v>35</x:v>
      </x:c>
      <x:c r="F38" s="4">
        <x:v>9.0</x:v>
      </x:c>
      <x:c r="G38" s="4">
        <x:v>8.0</x:v>
      </x:c>
      <x:c r="N38" s="7">
        <x:v>17.0</x:v>
      </x:c>
    </x:row>
    <x:row r="39" ht="15.75" customHeight="1">
      <x:c r="A39" s="4">
        <x:v>6675.0</x:v>
      </x:c>
      <x:c r="B39" s="4" t="s">
        <x:v>496</x:v>
      </x:c>
      <x:c r="C39" s="4" t="s">
        <x:v>497</x:v>
      </x:c>
      <x:c r="D39" s="4" t="s">
        <x:v>519</x:v>
      </x:c>
      <x:c r="E39" s="4" t="s">
        <x:v>25</x:v>
      </x:c>
      <x:c r="F39" s="4">
        <x:v>20.0</x:v>
      </x:c>
      <x:c r="G39" s="4">
        <x:v>21.0</x:v>
      </x:c>
    </x:row>
    <x:row r="40" ht="15.75" customHeight="1">
      <x:c r="A40" s="4">
        <x:v>309.0</x:v>
      </x:c>
      <x:c r="B40" s="4" t="s">
        <x:v>496</x:v>
      </x:c>
      <x:c r="C40" s="4" t="s">
        <x:v>496</x:v>
      </x:c>
      <x:c r="D40" s="4" t="s">
        <x:v>505</x:v>
      </x:c>
      <x:c r="E40" s="4" t="s">
        <x:v>25</x:v>
      </x:c>
      <x:c r="F40" s="4">
        <x:v>26.0</x:v>
      </x:c>
      <x:c r="G40" s="4">
        <x:v>26.0</x:v>
      </x:c>
      <x:c r="L40" s="7">
        <x:v>60.0</x:v>
      </x:c>
    </x:row>
    <x:row r="41" ht="15.75" customHeight="1">
      <x:c r="A41" s="4">
        <x:v>647.0</x:v>
      </x:c>
      <x:c r="B41" s="4" t="s">
        <x:v>496</x:v>
      </x:c>
      <x:c r="C41" s="4" t="s">
        <x:v>497</x:v>
      </x:c>
      <x:c r="D41" s="4" t="s">
        <x:v>531</x:v>
      </x:c>
      <x:c r="E41" s="4" t="s">
        <x:v>29</x:v>
      </x:c>
      <x:c r="F41" s="4">
        <x:v>14.0</x:v>
      </x:c>
      <x:c r="G41" s="4">
        <x:v>15.0</x:v>
      </x:c>
      <x:c r="L41" s="7">
        <x:v>1.0</x:v>
      </x:c>
    </x:row>
    <x:row r="42" ht="15.75" customHeight="1">
      <x:c r="A42" s="4">
        <x:v>6822.0</x:v>
      </x:c>
      <x:c r="B42" s="4" t="s">
        <x:v>496</x:v>
      </x:c>
      <x:c r="C42" s="4" t="s">
        <x:v>496</x:v>
      </x:c>
      <x:c r="D42" s="4" t="s">
        <x:v>587</x:v>
      </x:c>
      <x:c r="E42" s="4" t="s">
        <x:v>37</x:v>
      </x:c>
      <x:c r="F42" s="4">
        <x:v>1.0</x:v>
      </x:c>
      <x:c r="G42" s="4">
        <x:v>1.0</x:v>
      </x:c>
    </x:row>
    <x:row r="43" ht="15.75" customHeight="1">
      <x:c r="A43" s="4">
        <x:v>5506.0</x:v>
      </x:c>
      <x:c r="B43" s="4" t="s">
        <x:v>496</x:v>
      </x:c>
      <x:c r="C43" s="4" t="s">
        <x:v>496</x:v>
      </x:c>
      <x:c r="D43" s="4" t="s">
        <x:v>584</x:v>
      </x:c>
      <x:c r="E43" s="4" t="s">
        <x:v>37</x:v>
      </x:c>
      <x:c r="F43" s="4">
        <x:v>2.0</x:v>
      </x:c>
      <x:c r="G43" s="4">
        <x:v>2.0</x:v>
      </x:c>
    </x:row>
    <x:row r="44" ht="15.75" customHeight="1">
      <x:c r="A44" s="4">
        <x:v>7071.0</x:v>
      </x:c>
      <x:c r="B44" s="4" t="s">
        <x:v>496</x:v>
      </x:c>
      <x:c r="C44" s="4" t="s">
        <x:v>497</x:v>
      </x:c>
      <x:c r="D44" s="4" t="s">
        <x:v>561</x:v>
      </x:c>
      <x:c r="E44" s="4" t="s">
        <x:v>19</x:v>
      </x:c>
      <x:c r="F44" s="4">
        <x:v>7.0</x:v>
      </x:c>
      <x:c r="G44" s="4">
        <x:v>7.0</x:v>
      </x:c>
    </x:row>
    <x:row r="45" ht="15.75" customHeight="1">
      <x:c r="A45" s="4">
        <x:v>4463.0</x:v>
      </x:c>
      <x:c r="B45" s="4" t="s">
        <x:v>496</x:v>
      </x:c>
      <x:c r="C45" s="4" t="s">
        <x:v>496</x:v>
      </x:c>
      <x:c r="D45" s="4" t="s">
        <x:v>559</x:v>
      </x:c>
      <x:c r="E45" s="4" t="s">
        <x:v>39</x:v>
      </x:c>
      <x:c r="F45" s="4">
        <x:v>7.0</x:v>
      </x:c>
      <x:c r="G45" s="4">
        <x:v>7.0</x:v>
      </x:c>
      <x:c r="M45" s="7">
        <x:v>5.0</x:v>
      </x:c>
    </x:row>
    <x:row r="46" ht="15.75" customHeight="1">
      <x:c r="A46" s="4">
        <x:v>6365.0</x:v>
      </x:c>
      <x:c r="B46" s="4" t="s">
        <x:v>496</x:v>
      </x:c>
      <x:c r="C46" s="4" t="s">
        <x:v>497</x:v>
      </x:c>
      <x:c r="D46" s="4" t="s">
        <x:v>522</x:v>
      </x:c>
      <x:c r="E46" s="4" t="s">
        <x:v>25</x:v>
      </x:c>
      <x:c r="F46" s="4">
        <x:v>19.0</x:v>
      </x:c>
      <x:c r="G46" s="4">
        <x:v>19.0</x:v>
      </x:c>
      <x:c r="I46" s="7">
        <x:v>71.0</x:v>
      </x:c>
    </x:row>
    <x:row r="47" ht="15.75" customHeight="1">
      <x:c r="A47" s="4">
        <x:v>7213.0</x:v>
      </x:c>
      <x:c r="B47" s="4" t="s">
        <x:v>496</x:v>
      </x:c>
      <x:c r="C47" s="4" t="s">
        <x:v>497</x:v>
      </x:c>
      <x:c r="D47" s="4" t="s">
        <x:v>572</x:v>
      </x:c>
      <x:c r="E47" s="4" t="s">
        <x:v>45</x:v>
      </x:c>
      <x:c r="F47" s="4">
        <x:v>6.0</x:v>
      </x:c>
      <x:c r="G47" s="4">
        <x:v>7.0</x:v>
      </x:c>
    </x:row>
    <x:row r="48" ht="15.75" customHeight="1">
      <x:c r="A48" s="4">
        <x:v>7008.0</x:v>
      </x:c>
      <x:c r="B48" s="4" t="s">
        <x:v>496</x:v>
      </x:c>
      <x:c r="C48" s="4" t="s">
        <x:v>497</x:v>
      </x:c>
      <x:c r="D48" s="4" t="s">
        <x:v>507</x:v>
      </x:c>
      <x:c r="E48" s="4" t="s">
        <x:v>21</x:v>
      </x:c>
      <x:c r="F48" s="4">
        <x:v>24.0</x:v>
      </x:c>
      <x:c r="G48" s="4">
        <x:v>25.0</x:v>
      </x:c>
      <x:c r="H48" s="7">
        <x:v>47.0</x:v>
      </x:c>
    </x:row>
    <x:row r="49" ht="15.75" customHeight="1">
      <x:c r="A49" s="4">
        <x:v>7162.0</x:v>
      </x:c>
      <x:c r="B49" s="4" t="s">
        <x:v>496</x:v>
      </x:c>
      <x:c r="C49" s="4" t="s">
        <x:v>496</x:v>
      </x:c>
      <x:c r="D49" s="4" t="s">
        <x:v>583</x:v>
      </x:c>
      <x:c r="E49" s="4" t="s">
        <x:v>57</x:v>
      </x:c>
      <x:c r="F49" s="4">
        <x:v>3.0</x:v>
      </x:c>
      <x:c r="G49" s="4">
        <x:v>1.0</x:v>
      </x:c>
    </x:row>
    <x:row r="50" ht="15.75" customHeight="1">
      <x:c r="A50" s="4">
        <x:v>7272.0</x:v>
      </x:c>
      <x:c r="B50" s="4" t="s">
        <x:v>496</x:v>
      </x:c>
      <x:c r="C50" s="4" t="s">
        <x:v>497</x:v>
      </x:c>
      <x:c r="D50" s="4" t="s">
        <x:v>596</x:v>
      </x:c>
      <x:c r="E50" s="4" t="s">
        <x:v>51</x:v>
      </x:c>
      <x:c r="F50" s="4">
        <x:v>1.0</x:v>
      </x:c>
      <x:c r="G50" s="4">
        <x:v>1.0</x:v>
      </x:c>
    </x:row>
    <x:row r="51" ht="15.75" customHeight="1">
      <x:c r="A51" s="4">
        <x:v>6052.0</x:v>
      </x:c>
      <x:c r="B51" s="4" t="s">
        <x:v>496</x:v>
      </x:c>
      <x:c r="C51" s="4" t="s">
        <x:v>497</x:v>
      </x:c>
      <x:c r="D51" s="4" t="s">
        <x:v>508</x:v>
      </x:c>
      <x:c r="E51" s="4" t="s">
        <x:v>23</x:v>
      </x:c>
      <x:c r="F51" s="4">
        <x:v>24.0</x:v>
      </x:c>
      <x:c r="G51" s="4">
        <x:v>24.0</x:v>
      </x:c>
      <x:c r="J51" s="7">
        <x:v>84.0</x:v>
      </x:c>
    </x:row>
    <x:row r="52" ht="15.75" customHeight="1">
      <x:c r="A52" s="4">
        <x:v>785.0</x:v>
      </x:c>
      <x:c r="B52" s="4" t="s">
        <x:v>496</x:v>
      </x:c>
      <x:c r="C52" s="4" t="s">
        <x:v>497</x:v>
      </x:c>
      <x:c r="D52" s="4" t="s">
        <x:v>521</x:v>
      </x:c>
      <x:c r="E52" s="4" t="s">
        <x:v>33</x:v>
      </x:c>
      <x:c r="F52" s="4">
        <x:v>19.0</x:v>
      </x:c>
      <x:c r="G52" s="4">
        <x:v>19.0</x:v>
      </x:c>
      <x:c r="N52" s="7">
        <x:v>10.0</x:v>
      </x:c>
    </x:row>
    <x:row r="53" ht="15.75" customHeight="1">
      <x:c r="A53" s="4">
        <x:v>5496.0</x:v>
      </x:c>
      <x:c r="B53" s="4" t="s">
        <x:v>496</x:v>
      </x:c>
      <x:c r="C53" s="4" t="s">
        <x:v>496</x:v>
      </x:c>
      <x:c r="D53" s="4" t="s">
        <x:v>566</x:v>
      </x:c>
      <x:c r="E53" s="4" t="s">
        <x:v>47</x:v>
      </x:c>
      <x:c r="F53" s="4">
        <x:v>6.0</x:v>
      </x:c>
      <x:c r="G53" s="4">
        <x:v>7.0</x:v>
      </x:c>
    </x:row>
    <x:row r="54" ht="15.75" customHeight="1">
      <x:c r="A54" s="4">
        <x:v>2097.0</x:v>
      </x:c>
      <x:c r="B54" s="4" t="s">
        <x:v>496</x:v>
      </x:c>
      <x:c r="C54" s="4" t="s">
        <x:v>497</x:v>
      </x:c>
      <x:c r="D54" s="4" t="s">
        <x:v>499</x:v>
      </x:c>
      <x:c r="E54" s="4" t="s">
        <x:v>29</x:v>
      </x:c>
      <x:c r="F54" s="4">
        <x:v>31.0</x:v>
      </x:c>
      <x:c r="G54" s="4">
        <x:v>33.0</x:v>
      </x:c>
      <x:c r="O54" s="7">
        <x:v>136.0</x:v>
      </x:c>
    </x:row>
    <x:row r="55" ht="15.75" customHeight="1">
      <x:c r="A55" s="4">
        <x:v>7199.0</x:v>
      </x:c>
      <x:c r="B55" s="4" t="s">
        <x:v>496</x:v>
      </x:c>
      <x:c r="C55" s="4" t="s">
        <x:v>496</x:v>
      </x:c>
      <x:c r="D55" s="4" t="s">
        <x:v>571</x:v>
      </x:c>
      <x:c r="E55" s="4" t="s">
        <x:v>39</x:v>
      </x:c>
      <x:c r="F55" s="4">
        <x:v>6.0</x:v>
      </x:c>
      <x:c r="G55" s="4">
        <x:v>6.0</x:v>
      </x:c>
    </x:row>
    <x:row r="56" ht="15.75" customHeight="1">
      <x:c r="A56" s="4">
        <x:v>6435.0</x:v>
      </x:c>
      <x:c r="B56" s="4" t="s">
        <x:v>496</x:v>
      </x:c>
      <x:c r="C56" s="4" t="s">
        <x:v>497</x:v>
      </x:c>
      <x:c r="D56" s="4" t="s">
        <x:v>517</x:v>
      </x:c>
      <x:c r="E56" s="4" t="s">
        <x:v>27</x:v>
      </x:c>
      <x:c r="F56" s="4">
        <x:v>20.0</x:v>
      </x:c>
      <x:c r="G56" s="4">
        <x:v>20.0</x:v>
      </x:c>
      <x:c r="M56" s="7">
        <x:v>52.0</x:v>
      </x:c>
    </x:row>
    <x:row r="57" ht="15.75" customHeight="1">
      <x:c r="A57" s="4">
        <x:v>7128.0</x:v>
      </x:c>
      <x:c r="B57" s="4" t="s">
        <x:v>496</x:v>
      </x:c>
      <x:c r="C57" s="4" t="s">
        <x:v>302</x:v>
      </x:c>
      <x:c r="D57" s="4" t="s">
        <x:v>534</x:v>
      </x:c>
      <x:c r="E57" s="4" t="s">
        <x:v>35</x:v>
      </x:c>
      <x:c r="F57" s="4">
        <x:v>13.0</x:v>
      </x:c>
      <x:c r="G57" s="4">
        <x:v>14.0</x:v>
      </x:c>
    </x:row>
    <x:row r="58" ht="15.75" customHeight="1">
      <x:c r="A58" s="4">
        <x:v>7120.0</x:v>
      </x:c>
      <x:c r="B58" s="4" t="s">
        <x:v>496</x:v>
      </x:c>
      <x:c r="C58" s="4" t="s">
        <x:v>496</x:v>
      </x:c>
      <x:c r="D58" s="4" t="s">
        <x:v>524</x:v>
      </x:c>
      <x:c r="E58" s="4" t="s">
        <x:v>23</x:v>
      </x:c>
      <x:c r="F58" s="4">
        <x:v>18.0</x:v>
      </x:c>
      <x:c r="G58" s="4">
        <x:v>19.0</x:v>
      </x:c>
      <x:c r="O58" s="7">
        <x:v>11.0</x:v>
      </x:c>
    </x:row>
    <x:row r="59" ht="15.75" customHeight="1">
      <x:c r="A59" s="4">
        <x:v>6060.0</x:v>
      </x:c>
      <x:c r="B59" s="4" t="s">
        <x:v>496</x:v>
      </x:c>
      <x:c r="C59" s="4" t="s">
        <x:v>496</x:v>
      </x:c>
      <x:c r="D59" s="4" t="s">
        <x:v>533</x:v>
      </x:c>
      <x:c r="E59" s="4" t="s">
        <x:v>49</x:v>
      </x:c>
      <x:c r="F59" s="4">
        <x:v>14.0</x:v>
      </x:c>
      <x:c r="G59" s="4">
        <x:v>15.0</x:v>
      </x:c>
      <x:c r="K59" s="7">
        <x:v>10.0</x:v>
      </x:c>
    </x:row>
    <x:row r="60" ht="15.75" customHeight="1">
      <x:c r="A60" s="4">
        <x:v>4510.0</x:v>
      </x:c>
      <x:c r="B60" s="4" t="s">
        <x:v>496</x:v>
      </x:c>
      <x:c r="C60" s="4" t="s">
        <x:v>496</x:v>
      </x:c>
      <x:c r="D60" s="4" t="s">
        <x:v>509</x:v>
      </x:c>
      <x:c r="E60" s="4" t="s">
        <x:v>21</x:v>
      </x:c>
      <x:c r="F60" s="4">
        <x:v>23.0</x:v>
      </x:c>
      <x:c r="G60" s="4">
        <x:v>24.0</x:v>
      </x:c>
      <x:c r="H60" s="7">
        <x:v>98.0</x:v>
      </x:c>
    </x:row>
    <x:row r="61" ht="15.75" customHeight="1">
      <x:c r="A61" s="4">
        <x:v>4730.0</x:v>
      </x:c>
      <x:c r="B61" s="4" t="s">
        <x:v>496</x:v>
      </x:c>
      <x:c r="C61" s="4" t="s">
        <x:v>496</x:v>
      </x:c>
      <x:c r="D61" s="4" t="s">
        <x:v>502</x:v>
      </x:c>
      <x:c r="E61" s="4" t="s">
        <x:v>27</x:v>
      </x:c>
      <x:c r="F61" s="4">
        <x:v>28.0</x:v>
      </x:c>
      <x:c r="G61" s="4">
        <x:v>29.0</x:v>
      </x:c>
      <x:c r="N61" s="7">
        <x:v>61.0</x:v>
      </x:c>
    </x:row>
    <x:row r="62" ht="15.75" customHeight="1">
      <x:c r="A62" s="4">
        <x:v>6215.0</x:v>
      </x:c>
      <x:c r="B62" s="4" t="s">
        <x:v>496</x:v>
      </x:c>
      <x:c r="C62" s="4" t="s">
        <x:v>497</x:v>
      </x:c>
      <x:c r="D62" s="4" t="s">
        <x:v>532</x:v>
      </x:c>
      <x:c r="E62" s="4" t="s">
        <x:v>23</x:v>
      </x:c>
      <x:c r="F62" s="4">
        <x:v>14.0</x:v>
      </x:c>
      <x:c r="G62" s="4">
        <x:v>15.0</x:v>
      </x:c>
      <x:c r="J62" s="7">
        <x:v>55.0</x:v>
      </x:c>
    </x:row>
    <x:row r="63" ht="15.75" customHeight="1">
      <x:c r="A63" s="4">
        <x:v>2531.0</x:v>
      </x:c>
      <x:c r="B63" s="4" t="s">
        <x:v>496</x:v>
      </x:c>
      <x:c r="C63" s="4" t="s">
        <x:v>497</x:v>
      </x:c>
      <x:c r="D63" s="4" t="s">
        <x:v>501</x:v>
      </x:c>
      <x:c r="E63" s="4" t="s">
        <x:v>23</x:v>
      </x:c>
      <x:c r="F63" s="4">
        <x:v>30.0</x:v>
      </x:c>
      <x:c r="G63" s="4">
        <x:v>31.0</x:v>
      </x:c>
      <x:c r="I63" s="7">
        <x:v>23.0</x:v>
      </x:c>
    </x:row>
    <x:row r="64" ht="15.75" customHeight="1">
      <x:c r="A64" s="4">
        <x:v>5297.0</x:v>
      </x:c>
      <x:c r="B64" s="4" t="s">
        <x:v>496</x:v>
      </x:c>
      <x:c r="C64" s="4" t="s">
        <x:v>496</x:v>
      </x:c>
      <x:c r="D64" s="4" t="s">
        <x:v>540</x:v>
      </x:c>
      <x:c r="E64" s="4" t="s">
        <x:v>39</x:v>
      </x:c>
      <x:c r="F64" s="4">
        <x:v>12.0</x:v>
      </x:c>
      <x:c r="G64" s="4">
        <x:v>12.0</x:v>
      </x:c>
    </x:row>
    <x:row r="65" ht="15.75" customHeight="1">
      <x:c r="A65" s="4">
        <x:v>2764.0</x:v>
      </x:c>
      <x:c r="B65" s="4" t="s">
        <x:v>496</x:v>
      </x:c>
      <x:c r="C65" s="4" t="s">
        <x:v>497</x:v>
      </x:c>
      <x:c r="D65" s="4" t="s">
        <x:v>498</x:v>
      </x:c>
      <x:c r="E65" s="4" t="s">
        <x:v>19</x:v>
      </x:c>
      <x:c r="F65" s="4">
        <x:v>34.0</x:v>
      </x:c>
      <x:c r="G65" s="4">
        <x:v>34.0</x:v>
      </x:c>
      <x:c r="L65" s="7">
        <x:v>125.0</x:v>
      </x:c>
    </x:row>
    <x:row r="66" ht="15.75" customHeight="1">
      <x:c r="A66" s="4">
        <x:v>6836.0</x:v>
      </x:c>
      <x:c r="B66" s="4" t="s">
        <x:v>496</x:v>
      </x:c>
      <x:c r="C66" s="4" t="s">
        <x:v>497</x:v>
      </x:c>
      <x:c r="D66" s="4" t="s">
        <x:v>585</x:v>
      </x:c>
      <x:c r="E66" s="4" t="s">
        <x:v>55</x:v>
      </x:c>
      <x:c r="F66" s="4">
        <x:v>2.0</x:v>
      </x:c>
      <x:c r="G66" s="4">
        <x:v>2.0</x:v>
      </x:c>
    </x:row>
    <x:row r="67" ht="15.75" customHeight="1">
      <x:c r="A67" s="4">
        <x:v>2012.0</x:v>
      </x:c>
      <x:c r="B67" s="4" t="s">
        <x:v>496</x:v>
      </x:c>
      <x:c r="C67" s="4" t="s">
        <x:v>497</x:v>
      </x:c>
      <x:c r="D67" s="4" t="s">
        <x:v>588</x:v>
      </x:c>
      <x:c r="E67" s="4" t="s">
        <x:v>17</x:v>
      </x:c>
      <x:c r="F67" s="4">
        <x:v>1.0</x:v>
      </x:c>
      <x:c r="G67" s="4">
        <x:v>1.0</x:v>
      </x:c>
    </x:row>
    <x:row r="68" ht="15.75" customHeight="1">
      <x:c r="A68" s="4">
        <x:v>313.0</x:v>
      </x:c>
      <x:c r="B68" s="4" t="s">
        <x:v>496</x:v>
      </x:c>
      <x:c r="C68" s="4" t="s">
        <x:v>497</x:v>
      </x:c>
      <x:c r="D68" s="4" t="s">
        <x:v>525</x:v>
      </x:c>
      <x:c r="E68" s="4" t="s">
        <x:v>35</x:v>
      </x:c>
      <x:c r="F68" s="4">
        <x:v>18.0</x:v>
      </x:c>
      <x:c r="G68" s="4">
        <x:v>18.0</x:v>
      </x:c>
      <x:c r="O68" s="7">
        <x:v>2.0</x:v>
      </x:c>
    </x:row>
    <x:row r="69" ht="15.75" customHeight="1">
      <x:c r="A69" s="4">
        <x:v>5455.0</x:v>
      </x:c>
      <x:c r="B69" s="4" t="s">
        <x:v>496</x:v>
      </x:c>
      <x:c r="C69" s="4" t="s">
        <x:v>496</x:v>
      </x:c>
      <x:c r="D69" s="4" t="s">
        <x:v>569</x:v>
      </x:c>
      <x:c r="E69" s="4" t="s">
        <x:v>55</x:v>
      </x:c>
      <x:c r="F69" s="4">
        <x:v>6.0</x:v>
      </x:c>
      <x:c r="G69" s="4">
        <x:v>5.0</x:v>
      </x:c>
    </x:row>
    <x:row r="70" ht="15.75" customHeight="1">
      <x:c r="A70" s="4">
        <x:v>7158.0</x:v>
      </x:c>
      <x:c r="B70" s="4" t="s">
        <x:v>496</x:v>
      </x:c>
      <x:c r="C70" s="4" t="s">
        <x:v>497</x:v>
      </x:c>
      <x:c r="D70" s="4" t="s">
        <x:v>591</x:v>
      </x:c>
      <x:c r="E70" s="4" t="s">
        <x:v>49</x:v>
      </x:c>
      <x:c r="F70" s="4">
        <x:v>1.0</x:v>
      </x:c>
      <x:c r="G70" s="4">
        <x:v>1.0</x:v>
      </x:c>
    </x:row>
    <x:row r="71" ht="15.75" customHeight="1">
      <x:c r="A71" s="4">
        <x:v>6630.0</x:v>
      </x:c>
      <x:c r="B71" s="4" t="s">
        <x:v>496</x:v>
      </x:c>
      <x:c r="C71" s="4" t="s">
        <x:v>497</x:v>
      </x:c>
      <x:c r="D71" s="4" t="s">
        <x:v>563</x:v>
      </x:c>
      <x:c r="E71" s="4" t="s">
        <x:v>57</x:v>
      </x:c>
      <x:c r="F71" s="4">
        <x:v>7.0</x:v>
      </x:c>
      <x:c r="G71" s="4">
        <x:v>6.0</x:v>
      </x:c>
    </x:row>
    <x:row r="72" ht="15.75" customHeight="1">
      <x:c r="A72" s="4">
        <x:v>6555.0</x:v>
      </x:c>
      <x:c r="B72" s="4" t="s">
        <x:v>496</x:v>
      </x:c>
      <x:c r="C72" s="4" t="s">
        <x:v>497</x:v>
      </x:c>
      <x:c r="D72" s="4" t="s">
        <x:v>573</x:v>
      </x:c>
      <x:c r="E72" s="4" t="s">
        <x:v>47</x:v>
      </x:c>
      <x:c r="F72" s="4">
        <x:v>6.0</x:v>
      </x:c>
      <x:c r="G72" s="4">
        <x:v>6.0</x:v>
      </x:c>
    </x:row>
    <x:row r="73" ht="15.75" customHeight="1">
      <x:c r="A73" s="4">
        <x:v>7001.0</x:v>
      </x:c>
      <x:c r="B73" s="4" t="s">
        <x:v>496</x:v>
      </x:c>
      <x:c r="C73" s="4" t="s">
        <x:v>302</x:v>
      </x:c>
      <x:c r="D73" s="4" t="s">
        <x:v>578</x:v>
      </x:c>
      <x:c r="E73" s="4" t="s">
        <x:v>43</x:v>
      </x:c>
      <x:c r="F73" s="4">
        <x:v>4.0</x:v>
      </x:c>
      <x:c r="G73" s="4">
        <x:v>5.0</x:v>
      </x:c>
    </x:row>
    <x:row r="74" ht="15.75" customHeight="1">
      <x:c r="A74" s="4">
        <x:v>6145.0</x:v>
      </x:c>
      <x:c r="B74" s="4" t="s">
        <x:v>496</x:v>
      </x:c>
      <x:c r="C74" s="4" t="s">
        <x:v>496</x:v>
      </x:c>
      <x:c r="D74" s="4" t="s">
        <x:v>556</x:v>
      </x:c>
      <x:c r="E74" s="4" t="s">
        <x:v>41</x:v>
      </x:c>
      <x:c r="F74" s="4">
        <x:v>8.0</x:v>
      </x:c>
      <x:c r="G74" s="4">
        <x:v>9.0</x:v>
      </x:c>
      <x:c r="I74" s="7">
        <x:v>1.0</x:v>
      </x:c>
    </x:row>
    <x:row r="75" ht="15.75" customHeight="1">
      <x:c r="A75" s="4">
        <x:v>6827.0</x:v>
      </x:c>
      <x:c r="B75" s="4" t="s">
        <x:v>496</x:v>
      </x:c>
      <x:c r="C75" s="4" t="s">
        <x:v>496</x:v>
      </x:c>
      <x:c r="D75" s="4" t="s">
        <x:v>593</x:v>
      </x:c>
      <x:c r="E75" s="4" t="s">
        <x:v>41</x:v>
      </x:c>
      <x:c r="F75" s="4">
        <x:v>1.0</x:v>
      </x:c>
      <x:c r="G75" s="4">
        <x:v>1.0</x:v>
      </x:c>
    </x:row>
    <x:row r="76" ht="15.75" customHeight="1">
      <x:c r="A76" s="4">
        <x:v>4728.0</x:v>
      </x:c>
      <x:c r="B76" s="4" t="s">
        <x:v>496</x:v>
      </x:c>
      <x:c r="C76" s="4" t="s">
        <x:v>496</x:v>
      </x:c>
      <x:c r="D76" s="4" t="s">
        <x:v>520</x:v>
      </x:c>
      <x:c r="E76" s="4" t="s">
        <x:v>21</x:v>
      </x:c>
      <x:c r="F76" s="4">
        <x:v>20.0</x:v>
      </x:c>
      <x:c r="G76" s="4">
        <x:v>20.0</x:v>
      </x:c>
      <x:c r="I76" s="7">
        <x:v>47.0</x:v>
      </x:c>
    </x:row>
    <x:row r="77" ht="15.75" customHeight="1">
      <x:c r="A77" s="4">
        <x:v>6556.0</x:v>
      </x:c>
      <x:c r="B77" s="4" t="s">
        <x:v>496</x:v>
      </x:c>
      <x:c r="C77" s="4" t="s">
        <x:v>496</x:v>
      </x:c>
      <x:c r="D77" s="4" t="s">
        <x:v>568</x:v>
      </x:c>
      <x:c r="E77" s="4" t="s">
        <x:v>31</x:v>
      </x:c>
      <x:c r="F77" s="4">
        <x:v>6.0</x:v>
      </x:c>
      <x:c r="G77" s="4">
        <x:v>7.0</x:v>
      </x:c>
    </x:row>
    <x:row r="78" ht="15.75" customHeight="1">
      <x:c r="A78" s="4">
        <x:v>5336.0</x:v>
      </x:c>
      <x:c r="B78" s="4" t="s">
        <x:v>496</x:v>
      </x:c>
      <x:c r="C78" s="4" t="s">
        <x:v>497</x:v>
      </x:c>
      <x:c r="D78" s="4" t="s">
        <x:v>541</x:v>
      </x:c>
      <x:c r="E78" s="4" t="s">
        <x:v>55</x:v>
      </x:c>
      <x:c r="F78" s="4">
        <x:v>12.0</x:v>
      </x:c>
      <x:c r="G78" s="4">
        <x:v>12.0</x:v>
      </x:c>
      <x:c r="I78" s="7">
        <x:v>1.0</x:v>
      </x:c>
    </x:row>
    <x:row r="79" ht="15.75" customHeight="1">
      <x:c r="A79" s="4">
        <x:v>5515.0</x:v>
      </x:c>
      <x:c r="B79" s="4" t="s">
        <x:v>496</x:v>
      </x:c>
      <x:c r="C79" s="4" t="s">
        <x:v>496</x:v>
      </x:c>
      <x:c r="D79" s="4" t="s">
        <x:v>567</x:v>
      </x:c>
      <x:c r="E79" s="4" t="s">
        <x:v>47</x:v>
      </x:c>
      <x:c r="F79" s="4">
        <x:v>6.0</x:v>
      </x:c>
      <x:c r="G79" s="4">
        <x:v>5.0</x:v>
      </x:c>
    </x:row>
    <x:row r="80" ht="15.75" customHeight="1">
      <x:c r="A80" s="4">
        <x:v>6314.0</x:v>
      </x:c>
      <x:c r="B80" s="4" t="s">
        <x:v>496</x:v>
      </x:c>
      <x:c r="C80" s="4" t="s">
        <x:v>497</x:v>
      </x:c>
      <x:c r="D80" s="4" t="s">
        <x:v>511</x:v>
      </x:c>
      <x:c r="E80" s="4" t="s">
        <x:v>17</x:v>
      </x:c>
      <x:c r="F80" s="4">
        <x:v>22.0</x:v>
      </x:c>
      <x:c r="G80" s="4">
        <x:v>22.0</x:v>
      </x:c>
      <x:c r="L80" s="7">
        <x:v>36.0</x:v>
      </x:c>
    </x:row>
    <x:row r="81" ht="15.75" customHeight="1">
      <x:c r="A81" s="4">
        <x:v>6552.0</x:v>
      </x:c>
      <x:c r="B81" s="4" t="s">
        <x:v>496</x:v>
      </x:c>
      <x:c r="C81" s="4" t="s">
        <x:v>497</x:v>
      </x:c>
      <x:c r="D81" s="4" t="s">
        <x:v>529</x:v>
      </x:c>
      <x:c r="E81" s="4" t="s">
        <x:v>57</x:v>
      </x:c>
      <x:c r="F81" s="4">
        <x:v>15.0</x:v>
      </x:c>
      <x:c r="G81" s="4">
        <x:v>15.0</x:v>
      </x:c>
    </x:row>
    <x:row r="82" ht="15.75" customHeight="1">
      <x:c r="A82" s="4">
        <x:v>247.0</x:v>
      </x:c>
      <x:c r="B82" s="4" t="s">
        <x:v>496</x:v>
      </x:c>
      <x:c r="C82" s="4" t="s">
        <x:v>497</x:v>
      </x:c>
      <x:c r="D82" s="4" t="s">
        <x:v>586</x:v>
      </x:c>
      <x:c r="E82" s="4" t="s">
        <x:v>39</x:v>
      </x:c>
      <x:c r="F82" s="4">
        <x:v>1.0</x:v>
      </x:c>
      <x:c r="G82" s="4">
        <x:v>1.0</x:v>
      </x:c>
    </x:row>
    <x:row r="83" ht="15.75" customHeight="1">
      <x:c r="A83" s="4">
        <x:v>2489.0</x:v>
      </x:c>
      <x:c r="B83" s="4" t="s">
        <x:v>496</x:v>
      </x:c>
      <x:c r="C83" s="4" t="s">
        <x:v>496</x:v>
      </x:c>
      <x:c r="D83" s="4" t="s">
        <x:v>535</x:v>
      </x:c>
      <x:c r="E83" s="4" t="s">
        <x:v>31</x:v>
      </x:c>
      <x:c r="F83" s="4">
        <x:v>13.0</x:v>
      </x:c>
      <x:c r="G83" s="4">
        <x:v>13.0</x:v>
      </x:c>
      <x:c r="K83" s="7">
        <x:v>2.0</x:v>
      </x:c>
    </x:row>
    <x:row r="84" ht="15.75" customHeight="1">
      <x:c r="A84" s="4">
        <x:v>7023.0</x:v>
      </x:c>
      <x:c r="B84" s="4" t="s">
        <x:v>496</x:v>
      </x:c>
      <x:c r="C84" s="4" t="s">
        <x:v>497</x:v>
      </x:c>
      <x:c r="D84" s="4" t="s">
        <x:v>536</x:v>
      </x:c>
      <x:c r="E84" s="4" t="s">
        <x:v>45</x:v>
      </x:c>
      <x:c r="F84" s="4">
        <x:v>13.0</x:v>
      </x:c>
      <x:c r="G84" s="4">
        <x:v>13.0</x:v>
      </x:c>
      <x:c r="M84" s="7">
        <x:v>7.0</x:v>
      </x:c>
    </x:row>
    <x:row r="85" ht="15.75" customHeight="1">
      <x:c r="A85" s="4">
        <x:v>4359.0</x:v>
      </x:c>
      <x:c r="B85" s="4" t="s">
        <x:v>496</x:v>
      </x:c>
      <x:c r="C85" s="4" t="s">
        <x:v>497</x:v>
      </x:c>
      <x:c r="D85" s="4" t="s">
        <x:v>526</x:v>
      </x:c>
      <x:c r="E85" s="4" t="s">
        <x:v>29</x:v>
      </x:c>
      <x:c r="F85" s="4">
        <x:v>17.0</x:v>
      </x:c>
      <x:c r="G85" s="4">
        <x:v>17.0</x:v>
      </x:c>
      <x:c r="J85" s="7">
        <x:v>9.0</x:v>
      </x:c>
    </x:row>
    <x:row r="86" ht="15.75" customHeight="1">
      <x:c r="A86" s="4">
        <x:v>1842.0</x:v>
      </x:c>
      <x:c r="B86" s="4" t="s">
        <x:v>496</x:v>
      </x:c>
      <x:c r="C86" s="4" t="s">
        <x:v>496</x:v>
      </x:c>
      <x:c r="D86" s="4" t="s">
        <x:v>579</x:v>
      </x:c>
      <x:c r="E86" s="4" t="s">
        <x:v>49</x:v>
      </x:c>
      <x:c r="F86" s="4">
        <x:v>4.0</x:v>
      </x:c>
      <x:c r="G86" s="4">
        <x:v>5.0</x:v>
      </x:c>
    </x:row>
    <x:row r="87" ht="15.75" customHeight="1">
      <x:c r="A87" s="4">
        <x:v>2038.0</x:v>
      </x:c>
      <x:c r="B87" s="4" t="s">
        <x:v>496</x:v>
      </x:c>
      <x:c r="C87" s="4" t="s">
        <x:v>497</x:v>
      </x:c>
      <x:c r="D87" s="4" t="s">
        <x:v>528</x:v>
      </x:c>
      <x:c r="E87" s="4" t="s">
        <x:v>49</x:v>
      </x:c>
      <x:c r="F87" s="4">
        <x:v>16.0</x:v>
      </x:c>
      <x:c r="G87" s="4">
        <x:v>16.0</x:v>
      </x:c>
      <x:c r="H87" s="7">
        <x:v>13.0</x:v>
      </x:c>
    </x:row>
    <x:row r="88" ht="15.75" customHeight="1">
      <x:c r="A88" s="4">
        <x:v>7129.0</x:v>
      </x:c>
      <x:c r="B88" s="4" t="s">
        <x:v>496</x:v>
      </x:c>
      <x:c r="C88" s="4" t="s">
        <x:v>302</x:v>
      </x:c>
      <x:c r="D88" s="4" t="s">
        <x:v>565</x:v>
      </x:c>
      <x:c r="E88" s="4" t="s">
        <x:v>35</x:v>
      </x:c>
      <x:c r="F88" s="4">
        <x:v>6.0</x:v>
      </x:c>
      <x:c r="G88" s="4">
        <x:v>5.0</x:v>
      </x:c>
      <x:c r="L88" s="7">
        <x:v>7.0</x:v>
      </x:c>
    </x:row>
    <x:row r="89" ht="15.75" customHeight="1">
      <x:c r="A89" s="4">
        <x:v>479.0</x:v>
      </x:c>
      <x:c r="B89" s="4" t="s">
        <x:v>496</x:v>
      </x:c>
      <x:c r="C89" s="4" t="s">
        <x:v>497</x:v>
      </x:c>
      <x:c r="D89" s="4" t="s">
        <x:v>557</x:v>
      </x:c>
      <x:c r="E89" s="4" t="s">
        <x:v>47</x:v>
      </x:c>
      <x:c r="F89" s="4">
        <x:v>8.0</x:v>
      </x:c>
      <x:c r="G89" s="4">
        <x:v>7.0</x:v>
      </x:c>
      <x:c r="J89" s="7">
        <x:v>1.0</x:v>
      </x:c>
    </x:row>
    <x:row r="90" ht="15.75" customHeight="1">
      <x:c r="A90" s="4">
        <x:v>6159.0</x:v>
      </x:c>
      <x:c r="B90" s="4" t="s">
        <x:v>496</x:v>
      </x:c>
      <x:c r="C90" s="4" t="s">
        <x:v>496</x:v>
      </x:c>
      <x:c r="D90" s="4" t="s">
        <x:v>562</x:v>
      </x:c>
      <x:c r="E90" s="4" t="s">
        <x:v>57</x:v>
      </x:c>
      <x:c r="F90" s="4">
        <x:v>7.0</x:v>
      </x:c>
      <x:c r="G90" s="4">
        <x:v>8.0</x:v>
      </x:c>
    </x:row>
    <x:row r="91" ht="15.75" customHeight="1">
      <x:c r="A91" s="4">
        <x:v>2137.0</x:v>
      </x:c>
      <x:c r="B91" s="4" t="s">
        <x:v>496</x:v>
      </x:c>
      <x:c r="C91" s="4" t="s">
        <x:v>497</x:v>
      </x:c>
      <x:c r="D91" s="4" t="s">
        <x:v>515</x:v>
      </x:c>
      <x:c r="E91" s="4" t="s">
        <x:v>27</x:v>
      </x:c>
      <x:c r="F91" s="4">
        <x:v>20.0</x:v>
      </x:c>
      <x:c r="G91" s="4">
        <x:v>19.0</x:v>
      </x:c>
      <x:c r="J91" s="7">
        <x:v>77.0</x:v>
      </x:c>
    </x:row>
    <x:row r="92" ht="15.75" customHeight="1">
      <x:c r="A92" s="4">
        <x:v>2061.0</x:v>
      </x:c>
      <x:c r="B92" s="4" t="s">
        <x:v>496</x:v>
      </x:c>
      <x:c r="C92" s="4" t="s">
        <x:v>497</x:v>
      </x:c>
      <x:c r="D92" s="4" t="s">
        <x:v>554</x:v>
      </x:c>
      <x:c r="E92" s="4" t="s">
        <x:v>41</x:v>
      </x:c>
      <x:c r="F92" s="4">
        <x:v>8.0</x:v>
      </x:c>
      <x:c r="G92" s="4">
        <x:v>8.0</x:v>
      </x:c>
      <x:c r="J92" s="7">
        <x:v>1.0</x:v>
      </x:c>
    </x:row>
    <x:row r="93" ht="15.75" customHeight="1">
      <x:c r="A93" s="4">
        <x:v>7159.0</x:v>
      </x:c>
      <x:c r="B93" s="4" t="s">
        <x:v>496</x:v>
      </x:c>
      <x:c r="C93" s="4" t="s">
        <x:v>497</x:v>
      </x:c>
      <x:c r="D93" s="4" t="s">
        <x:v>592</x:v>
      </x:c>
      <x:c r="E93" s="4" t="s">
        <x:v>49</x:v>
      </x:c>
      <x:c r="F93" s="4">
        <x:v>1.0</x:v>
      </x:c>
      <x:c r="G93" s="4">
        <x:v>1.0</x:v>
      </x:c>
    </x:row>
    <x:row r="94" ht="15.75" customHeight="1">
      <x:c r="A94" s="4">
        <x:v>5734.0</x:v>
      </x:c>
      <x:c r="B94" s="4" t="s">
        <x:v>496</x:v>
      </x:c>
      <x:c r="C94" s="4" t="s">
        <x:v>496</x:v>
      </x:c>
      <x:c r="D94" s="4" t="s">
        <x:v>518</x:v>
      </x:c>
      <x:c r="E94" s="4" t="s">
        <x:v>25</x:v>
      </x:c>
      <x:c r="F94" s="4">
        <x:v>20.0</x:v>
      </x:c>
      <x:c r="G94" s="4">
        <x:v>20.0</x:v>
      </x:c>
      <x:c r="M94" s="7">
        <x:v>83.0</x:v>
      </x:c>
    </x:row>
    <x:row r="95" ht="15.75" customHeight="1">
      <x:c r="A95" s="4">
        <x:v>7252.0</x:v>
      </x:c>
      <x:c r="B95" s="4" t="s">
        <x:v>496</x:v>
      </x:c>
      <x:c r="C95" s="4" t="s">
        <x:v>497</x:v>
      </x:c>
      <x:c r="D95" s="4" t="s">
        <x:v>539</x:v>
      </x:c>
      <x:c r="E95" s="4" t="s">
        <x:v>43</x:v>
      </x:c>
      <x:c r="F95" s="4">
        <x:v>13.0</x:v>
      </x:c>
      <x:c r="G95" s="4">
        <x:v>13.0</x:v>
      </x:c>
    </x:row>
    <x:row r="96" ht="15.75" customHeight="1">
      <x:c r="A96" s="4">
        <x:v>5918.0</x:v>
      </x:c>
      <x:c r="B96" s="4" t="s">
        <x:v>496</x:v>
      </x:c>
      <x:c r="C96" s="4" t="s">
        <x:v>496</x:v>
      </x:c>
      <x:c r="D96" s="4" t="s">
        <x:v>552</x:v>
      </x:c>
      <x:c r="E96" s="4" t="s">
        <x:v>27</x:v>
      </x:c>
      <x:c r="F96" s="4">
        <x:v>8.0</x:v>
      </x:c>
      <x:c r="G96" s="4">
        <x:v>9.0</x:v>
      </x:c>
    </x:row>
    <x:row r="97" ht="15.75" customHeight="1">
      <x:c r="A97" s="4">
        <x:v>4871.0</x:v>
      </x:c>
      <x:c r="B97" s="4" t="s">
        <x:v>496</x:v>
      </x:c>
      <x:c r="C97" s="4" t="s">
        <x:v>497</x:v>
      </x:c>
      <x:c r="D97" s="4" t="s">
        <x:v>500</x:v>
      </x:c>
      <x:c r="E97" s="4" t="s">
        <x:v>19</x:v>
      </x:c>
      <x:c r="F97" s="4">
        <x:v>31.0</x:v>
      </x:c>
      <x:c r="G97" s="4">
        <x:v>29.0</x:v>
      </x:c>
      <x:c r="N97" s="7">
        <x:v>123.0</x:v>
      </x:c>
    </x:row>
    <x:row r="98" ht="15.75" customHeight="1">
      <x:c r="A98" s="4">
        <x:v>2499.0</x:v>
      </x:c>
      <x:c r="B98" s="4" t="s">
        <x:v>496</x:v>
      </x:c>
      <x:c r="C98" s="4" t="s">
        <x:v>497</x:v>
      </x:c>
      <x:c r="D98" s="4" t="s">
        <x:v>530</x:v>
      </x:c>
      <x:c r="E98" s="4" t="s">
        <x:v>47</x:v>
      </x:c>
      <x:c r="F98" s="4">
        <x:v>15.0</x:v>
      </x:c>
      <x:c r="G98" s="4">
        <x:v>15.0</x:v>
      </x:c>
      <x:c r="K98" s="7">
        <x:v>20.0</x:v>
      </x:c>
    </x:row>
    <x:row r="99" ht="15.75" customHeight="1">
      <x:c r="A99" s="4">
        <x:v>6164.0</x:v>
      </x:c>
      <x:c r="B99" s="4" t="s">
        <x:v>496</x:v>
      </x:c>
      <x:c r="C99" s="4" t="s">
        <x:v>497</x:v>
      </x:c>
      <x:c r="D99" s="4" t="s">
        <x:v>546</x:v>
      </x:c>
      <x:c r="E99" s="4" t="s">
        <x:v>37</x:v>
      </x:c>
      <x:c r="F99" s="4">
        <x:v>11.0</x:v>
      </x:c>
      <x:c r="G99" s="4">
        <x:v>12.0</x:v>
      </x:c>
    </x:row>
    <x:row r="100" ht="15.75" customHeight="1">
      <x:c r="A100" s="4">
        <x:v>2841.0</x:v>
      </x:c>
      <x:c r="B100" s="4" t="s">
        <x:v>496</x:v>
      </x:c>
      <x:c r="C100" s="4" t="s">
        <x:v>497</x:v>
      </x:c>
      <x:c r="D100" s="4" t="s">
        <x:v>504</x:v>
      </x:c>
      <x:c r="E100" s="4" t="s">
        <x:v>17</x:v>
      </x:c>
      <x:c r="F100" s="4">
        <x:v>26.0</x:v>
      </x:c>
      <x:c r="G100" s="4">
        <x:v>24.0</x:v>
      </x:c>
      <x:c r="K100" s="7">
        <x:v>53.0</x:v>
      </x:c>
    </x:row>
    <x:row r="101" ht="15.75" customHeight="1">
      <x:c r="A101" s="4">
        <x:v>6434.0</x:v>
      </x:c>
      <x:c r="B101" s="4" t="s">
        <x:v>496</x:v>
      </x:c>
      <x:c r="C101" s="4" t="s">
        <x:v>496</x:v>
      </x:c>
      <x:c r="D101" s="4" t="s">
        <x:v>506</x:v>
      </x:c>
      <x:c r="E101" s="4" t="s">
        <x:v>17</x:v>
      </x:c>
      <x:c r="F101" s="4">
        <x:v>25.0</x:v>
      </x:c>
      <x:c r="G101" s="4">
        <x:v>24.0</x:v>
      </x:c>
      <x:c r="K101" s="7">
        <x:v>76.0</x:v>
      </x:c>
    </x:row>
    <x:row r="102" ht="15.75" customHeight="1">
      <x:c r="A102" s="4">
        <x:v>608.0</x:v>
      </x:c>
      <x:c r="B102" s="4" t="s">
        <x:v>496</x:v>
      </x:c>
      <x:c r="C102" s="4" t="s">
        <x:v>497</x:v>
      </x:c>
      <x:c r="D102" s="4" t="s">
        <x:v>523</x:v>
      </x:c>
      <x:c r="E102" s="4" t="s">
        <x:v>41</x:v>
      </x:c>
      <x:c r="F102" s="4">
        <x:v>19.0</x:v>
      </x:c>
      <x:c r="G102" s="4">
        <x:v>20.0</x:v>
      </x:c>
      <x:c r="H102" s="7">
        <x:v>19.0</x:v>
      </x:c>
    </x:row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sheetData>
    <x:row r="1">
      <x:c r="A1" s="8" t="s">
        <x:v>606</x:v>
      </x:c>
      <x:c r="B1" s="9">
        <x:v>500.0</x:v>
      </x:c>
      <x:c r="C1" s="10"/>
      <x:c r="D1" s="10"/>
      <x:c r="E1" s="10"/>
      <x:c r="F1" s="10"/>
      <x:c r="G1" s="10"/>
      <x:c r="H1" s="10"/>
      <x:c r="I1" s="10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</x:row>
    <x:row r="3">
      <x:c r="A3" s="10"/>
      <x:c r="B3" s="11" t="s">
        <x:v>598</x:v>
      </x:c>
      <x:c r="C3" s="12" t="s">
        <x:v>599</x:v>
      </x:c>
      <x:c r="D3" s="12" t="s">
        <x:v>600</x:v>
      </x:c>
      <x:c r="E3" s="13" t="s">
        <x:v>601</x:v>
      </x:c>
      <x:c r="F3" s="12" t="s">
        <x:v>602</x:v>
      </x:c>
      <x:c r="G3" s="12" t="s">
        <x:v>603</x:v>
      </x:c>
      <x:c r="H3" s="12" t="s">
        <x:v>604</x:v>
      </x:c>
      <x:c r="I3" s="14" t="s">
        <x:v>605</x:v>
      </x:c>
    </x:row>
    <x:row r="4">
      <x:c r="A4" s="15" t="s">
        <x:v>607</x:v>
      </x:c>
      <x:c r="B4" s="16" t="n">
        <x:f>SUM(Portieri!H2:H1000)</x:f>
        <x:v>64</x:v>
      </x:c>
      <x:c r="C4" s="16" t="n">
        <x:f>SUM(Portieri!I2:I1000)</x:f>
        <x:v>59</x:v>
      </x:c>
      <x:c r="D4" s="16" t="n">
        <x:f>SUM(Portieri!J2:J1000)</x:f>
        <x:v>54</x:v>
      </x:c>
      <x:c r="E4" s="16" t="n">
        <x:f>SUM(Portieri!K2:K1000)</x:f>
        <x:v>66</x:v>
      </x:c>
      <x:c r="F4" s="16" t="n">
        <x:f>SUM(Portieri!L2:L1000)</x:f>
        <x:v>36</x:v>
      </x:c>
      <x:c r="G4" s="16" t="n">
        <x:f>SUM(Portieri!M2:M1000)</x:f>
        <x:v>45</x:v>
      </x:c>
      <x:c r="H4" s="16" t="n">
        <x:f>SUM(Portieri!N2:N1000)</x:f>
        <x:v>45</x:v>
      </x:c>
      <x:c r="I4" s="16" t="n">
        <x:f>SUM(Portieri!O2:O1000)</x:f>
        <x:v>18</x:v>
      </x:c>
    </x:row>
    <x:row r="5">
      <x:c r="A5" s="15" t="s">
        <x:v>608</x:v>
      </x:c>
      <x:c r="B5" s="16" t="n">
        <x:f>SUM(Difensori!H2:H1000)</x:f>
        <x:v>125</x:v>
      </x:c>
      <x:c r="C5" s="16" t="n">
        <x:f>SUM(Difensori!I2:I1000)</x:f>
        <x:v>71</x:v>
      </x:c>
      <x:c r="D5" s="16" t="n">
        <x:f>SUM(Difensori!J2:J1000)</x:f>
        <x:v>83</x:v>
      </x:c>
      <x:c r="E5" s="16" t="n">
        <x:f>SUM(Difensori!K2:K1000)</x:f>
        <x:v>110</x:v>
      </x:c>
      <x:c r="F5" s="16" t="n">
        <x:f>SUM(Difensori!L2:L1000)</x:f>
        <x:v>63</x:v>
      </x:c>
      <x:c r="G5" s="16" t="n">
        <x:f>SUM(Difensori!M2:M1000)</x:f>
        <x:v>62</x:v>
      </x:c>
      <x:c r="H5" s="16" t="n">
        <x:f>SUM(Difensori!N2:N1000)</x:f>
        <x:v>83</x:v>
      </x:c>
      <x:c r="I5" s="16" t="n">
        <x:f>SUM(Difensori!O2:O1000)</x:f>
        <x:v>82</x:v>
      </x:c>
    </x:row>
    <x:row r="6">
      <x:c r="A6" s="15" t="s">
        <x:v>609</x:v>
      </x:c>
      <x:c r="B6" s="16" t="n">
        <x:f>SUM(Centrocampisti!H2:H1000)</x:f>
        <x:v>87</x:v>
      </x:c>
      <x:c r="C6" s="16" t="n">
        <x:f>SUM(Centrocampisti!I2:I1000)</x:f>
        <x:v>137</x:v>
      </x:c>
      <x:c r="D6" s="16" t="n">
        <x:f>SUM(Centrocampisti!J2:J1000)</x:f>
        <x:v>134</x:v>
      </x:c>
      <x:c r="E6" s="16" t="n">
        <x:f>SUM(Centrocampisti!K2:K1000)</x:f>
        <x:v>98</x:v>
      </x:c>
      <x:c r="F6" s="16" t="n">
        <x:f>SUM(Centrocampisti!L2:L1000)</x:f>
        <x:v>170</x:v>
      </x:c>
      <x:c r="G6" s="16" t="n">
        <x:f>SUM(Centrocampisti!M2:M1000)</x:f>
        <x:v>148</x:v>
      </x:c>
      <x:c r="H6" s="16" t="n">
        <x:f>SUM(Centrocampisti!N2:N1000)</x:f>
        <x:v>109</x:v>
      </x:c>
      <x:c r="I6" s="16" t="n">
        <x:f>SUM(Centrocampisti!O2:O1000)</x:f>
        <x:v>150</x:v>
      </x:c>
    </x:row>
    <x:row r="7">
      <x:c r="A7" s="15" t="s">
        <x:v>610</x:v>
      </x:c>
      <x:c r="B7" s="16" t="n">
        <x:f>SUM(Attaccanti!H2:H1000)</x:f>
        <x:v>196</x:v>
      </x:c>
      <x:c r="C7" s="16" t="n">
        <x:f>SUM(Attaccanti!I2:I1000)</x:f>
        <x:v>204</x:v>
      </x:c>
      <x:c r="D7" s="16" t="n">
        <x:f>SUM(Attaccanti!J2:J1000)</x:f>
        <x:v>227</x:v>
      </x:c>
      <x:c r="E7" s="16" t="n">
        <x:f>SUM(Attaccanti!K2:K1000)</x:f>
        <x:v>192</x:v>
      </x:c>
      <x:c r="F7" s="16" t="n">
        <x:f>SUM(Attaccanti!L2:L1000)</x:f>
        <x:v>230</x:v>
      </x:c>
      <x:c r="G7" s="16" t="n">
        <x:f>SUM(Attaccanti!M2:M1000)</x:f>
        <x:v>245</x:v>
      </x:c>
      <x:c r="H7" s="16" t="n">
        <x:f>SUM(Attaccanti!N2:N1000)</x:f>
        <x:v>256</x:v>
      </x:c>
      <x:c r="I7" s="16" t="n">
        <x:f>SUM(Attaccanti!O2:O1000)</x:f>
        <x:v>250</x:v>
      </x:c>
    </x:row>
    <x:row r="8">
      <x:c r="A8" s="17" t="s">
        <x:v>611</x:v>
      </x:c>
      <x:c r="B8" s="18" t="n">
        <x:f t="shared" ref="B8:I8" si="1">SUM(B4:B7)</x:f>
        <x:v>472</x:v>
      </x:c>
      <x:c r="C8" s="19">
        <x:f t="shared" si="1"/>
        <x:v>471</x:v>
      </x:c>
      <x:c r="D8" s="19">
        <x:f t="shared" si="1"/>
        <x:v>498</x:v>
      </x:c>
      <x:c r="E8" s="19">
        <x:f t="shared" si="1"/>
        <x:v>466</x:v>
      </x:c>
      <x:c r="F8" s="19">
        <x:f t="shared" si="1"/>
        <x:v>499</x:v>
      </x:c>
      <x:c r="G8" s="19">
        <x:f t="shared" si="1"/>
        <x:v>500</x:v>
      </x:c>
      <x:c r="H8" s="19">
        <x:f t="shared" si="1"/>
        <x:v>493</x:v>
      </x:c>
      <x:c r="I8" s="20">
        <x:f t="shared" si="1"/>
        <x:v>500</x:v>
      </x:c>
    </x:row>
    <x:row r="9">
      <x:c r="A9" s="21" t="s">
        <x:v>612</x:v>
      </x:c>
      <x:c r="B9" s="22" t="n">
        <x:f t="shared" ref="B9:I9" si="2">$B$1-B8</x:f>
        <x:v>28</x:v>
      </x:c>
      <x:c r="C9" s="22">
        <x:f t="shared" si="2"/>
        <x:v>29</x:v>
      </x:c>
      <x:c r="D9" s="22">
        <x:f t="shared" si="2"/>
        <x:v>2</x:v>
      </x:c>
      <x:c r="E9" s="22">
        <x:f t="shared" si="2"/>
        <x:v>34</x:v>
      </x:c>
      <x:c r="F9" s="22">
        <x:f t="shared" si="2"/>
        <x:v>1</x:v>
      </x:c>
      <x:c r="G9" s="22">
        <x:f t="shared" si="2"/>
        <x:v>0</x:v>
      </x:c>
      <x:c r="H9" s="22">
        <x:f t="shared" si="2"/>
        <x:v>7</x:v>
      </x:c>
      <x:c r="I9" s="22">
        <x:f t="shared" si="2"/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sheetData>
    <x:row r="1">
      <x:c r="A1" s="7"/>
      <x:c r="B1" s="7" t="s">
        <x:v>14</x:v>
      </x:c>
      <x:c r="C1" s="7" t="s">
        <x:v>98</x:v>
      </x:c>
      <x:c r="D1" s="7" t="s">
        <x:v>301</x:v>
      </x:c>
      <x:c r="E1" s="7" t="s">
        <x:v>496</x:v>
      </x:c>
    </x:row>
    <x:row r="2">
      <x:c r="A2" s="7" t="s">
        <x:v>613</x:v>
      </x:c>
      <x:c r="B2" s="7">
        <x:v>0.0</x:v>
      </x:c>
      <x:c r="C2" s="7">
        <x:v>0.0</x:v>
      </x:c>
      <x:c r="D2" s="7">
        <x:v>0.0</x:v>
      </x:c>
      <x:c r="E2" s="7">
        <x:v>0.0</x:v>
      </x:c>
      <x:c r="G2" s="7">
        <x:v>110.0</x:v>
      </x:c>
      <x:c r="H2" s="7" t="n">
        <x:f>138-26-3-9-70-15-15</x:f>
        <x:v>0</x:v>
      </x:c>
    </x:row>
    <x:row r="3">
      <x:c r="A3" s="7" t="s">
        <x:v>614</x:v>
      </x:c>
      <x:c r="C3" s="7">
        <x:v>3.0</x:v>
      </x:c>
      <x:c r="D3" s="7">
        <x:v>0.0</x:v>
      </x:c>
      <x:c r="E3" s="7">
        <x:v>0.0</x:v>
      </x:c>
      <x:c r="G3" s="7">
        <x:v>16.0</x:v>
      </x:c>
      <x:c r="H3" s="7" t="n">
        <x:f>13-4-3-1-1</x:f>
        <x:v>4</x:v>
      </x:c>
    </x:row>
    <x:row r="4">
      <x:c r="A4" s="7" t="s">
        <x:v>615</x:v>
      </x:c>
      <x:c r="B4" s="7">
        <x:v>0.0</x:v>
      </x:c>
      <x:c r="C4" s="7">
        <x:v>0.0</x:v>
      </x:c>
      <x:c r="D4" s="7">
        <x:v>0.0</x:v>
      </x:c>
      <x:c r="E4" s="7">
        <x:v>0.0</x:v>
      </x:c>
      <x:c r="G4" s="7">
        <x:v>123.0</x:v>
      </x:c>
      <x:c r="H4" s="7" t="n">
        <x:f>104-18-5-2-1-1-44-16-16-1</x:f>
        <x:v>0</x:v>
      </x:c>
    </x:row>
    <x:row r="5">
      <x:c r="A5" s="7" t="s">
        <x:v>616</x:v>
      </x:c>
      <x:c r="B5" s="7">
        <x:v>0.0</x:v>
      </x:c>
      <x:c r="C5" s="7">
        <x:v>0.0</x:v>
      </x:c>
      <x:c r="D5" s="7">
        <x:v>0.0</x:v>
      </x:c>
      <x:c r="E5" s="7">
        <x:v>1.0</x:v>
      </x:c>
      <x:c r="G5" s="7">
        <x:v>149.0</x:v>
      </x:c>
      <x:c r="H5" s="7" t="n">
        <x:f>133-7-10-1-82-20</x:f>
        <x:v>13</x:v>
      </x:c>
    </x:row>
    <x:row r="6">
      <x:c r="A6" s="7" t="s">
        <x:v>617</x:v>
      </x:c>
      <x:c r="B6" s="7">
        <x:v>0.0</x:v>
      </x:c>
      <x:c r="C6" s="7">
        <x:v>0.0</x:v>
      </x:c>
      <x:c r="D6" s="7">
        <x:v>0.0</x:v>
      </x:c>
      <x:c r="E6" s="7">
        <x:v>0.0</x:v>
      </x:c>
      <x:c r="G6" s="7">
        <x:v>23.0</x:v>
      </x:c>
      <x:c r="H6" s="4" t="n">
        <x:f>19-4-9-1</x:f>
        <x:v>5</x:v>
      </x:c>
    </x:row>
    <x:row r="7">
      <x:c r="A7" s="7" t="s">
        <x:v>618</x:v>
      </x:c>
      <x:c r="C7" s="7">
        <x:v>0.0</x:v>
      </x:c>
      <x:c r="D7" s="7">
        <x:v>0.0</x:v>
      </x:c>
      <x:c r="E7" s="7">
        <x:v>0.0</x:v>
      </x:c>
      <x:c r="G7" s="7">
        <x:v>66.0</x:v>
      </x:c>
      <x:c r="H7" s="23" t="n">
        <x:f>59-1-10</x:f>
        <x:v>48</x:v>
      </x:c>
    </x:row>
    <x:row r="8">
      <x:c r="A8" s="7" t="s">
        <x:v>619</x:v>
      </x:c>
      <x:c r="B8" s="7">
        <x:v>0.0</x:v>
      </x:c>
      <x:c r="C8" s="7">
        <x:v>0.0</x:v>
      </x:c>
      <x:c r="D8" s="7">
        <x:v>0.0</x:v>
      </x:c>
      <x:c r="E8" s="7">
        <x:v>0.0</x:v>
      </x:c>
      <x:c r="G8" s="7">
        <x:v>102.0</x:v>
      </x:c>
      <x:c r="H8" s="23" t="n">
        <x:f>96-13-6-5-20</x:f>
        <x:v>52</x:v>
      </x:c>
    </x:row>
    <x:row r="10">
      <x:c r="D10" s="7">
        <x:v>0.0</x:v>
      </x:c>
      <x:c r="E10" s="7">
        <x:v>0.0</x:v>
      </x:c>
      <x:c r="G10" s="7">
        <x:v>73.0</x:v>
      </x:c>
      <x:c r="H10" s="7" t="n">
        <x:f>66-15-31-19-1</x:f>
        <x:v>0</x:v>
      </x:c>
    </x:row>
    <x:row r="13">
      <x:c r="B13" s="7" t="s">
        <x:v>620</x:v>
      </x:c>
    </x:row>
    <x:row r="14">
      <x:c r="B14" s="7" t="s">
        <x:v>247</x:v>
      </x:c>
    </x:row>
    <x:row r="15">
      <x:c r="B15" s="7" t="s">
        <x:v>199</x:v>
      </x:c>
    </x:row>
    <x:row r="16">
      <x:c r="B16" s="7" t="s">
        <x:v>621</x:v>
      </x:c>
    </x:row>
    <x:row r="17">
      <x:c r="B17" s="7" t="s">
        <x:v>622</x:v>
      </x:c>
    </x:row>
    <x:row r="18">
      <x:c r="B18" s="7" t="s">
        <x:v>623</x:v>
      </x:c>
    </x:row>
    <x:row r="19">
      <x:c r="B19" s="7" t="s">
        <x:v>577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sheetData>
    <x:row r="1">
      <x:c r="A1" s="7" t="s">
        <x:v>26</x:v>
      </x:c>
    </x:row>
    <x:row r="2">
      <x:c r="A2" s="7" t="s">
        <x:v>30</x:v>
      </x:c>
    </x:row>
    <x:row r="3">
      <x:c r="A3" s="7" t="s">
        <x:v>52</x:v>
      </x:c>
    </x:row>
    <x:row r="5">
      <x:c r="A5" s="7" t="s">
        <x:v>132</x:v>
      </x:c>
    </x:row>
    <x:row r="6">
      <x:c r="A6" s="7" t="s">
        <x:v>104</x:v>
      </x:c>
    </x:row>
    <x:row r="7">
      <x:c r="A7" s="7" t="s">
        <x:v>148</x:v>
      </x:c>
    </x:row>
    <x:row r="8">
      <x:c r="A8" s="7" t="s">
        <x:v>110</x:v>
      </x:c>
    </x:row>
    <x:row r="9">
      <x:c r="A9" s="7" t="s">
        <x:v>624</x:v>
      </x:c>
    </x:row>
    <x:row r="10">
      <x:c r="A10" s="7" t="s">
        <x:v>102</x:v>
      </x:c>
    </x:row>
    <x:row r="11">
      <x:c r="A11" s="7" t="s">
        <x:v>137</x:v>
      </x:c>
    </x:row>
    <x:row r="12">
      <x:c r="A12" s="7" t="s">
        <x:v>105</x:v>
      </x:c>
    </x:row>
    <x:row r="14">
      <x:c r="A14" s="4" t="s">
        <x:v>371</x:v>
      </x:c>
    </x:row>
    <x:row r="15">
      <x:c r="A15" s="4" t="s">
        <x:v>366</x:v>
      </x:c>
    </x:row>
    <x:row r="16">
      <x:c r="A16" s="4" t="s">
        <x:v>380</x:v>
      </x:c>
    </x:row>
    <x:row r="17">
      <x:c r="A17" s="4" t="s">
        <x:v>322</x:v>
      </x:c>
    </x:row>
    <x:row r="18">
      <x:c r="A18" s="7" t="s">
        <x:v>625</x:v>
      </x:c>
    </x:row>
    <x:row r="19">
      <x:c r="A19" s="7" t="s">
        <x:v>312</x:v>
      </x:c>
    </x:row>
    <x:row r="20">
      <x:c r="A20" s="4" t="s">
        <x:v>351</x:v>
      </x:c>
    </x:row>
    <x:row r="21">
      <x:c r="A21" s="7" t="s">
        <x:v>332</x:v>
      </x:c>
    </x:row>
    <x:row r="23">
      <x:c r="A23" s="7" t="s">
        <x:v>544</x:v>
      </x:c>
    </x:row>
    <x:row r="24">
      <x:c r="A24" s="7" t="s">
        <x:v>626</x:v>
      </x:c>
    </x:row>
    <x:row r="25">
      <x:c r="A25" s="7" t="s">
        <x:v>507</x:v>
      </x:c>
    </x:row>
    <x:row r="26">
      <x:c r="A26" s="7" t="s">
        <x:v>509</x:v>
      </x:c>
    </x:row>
    <x:row r="27">
      <x:c r="A27" s="7" t="s">
        <x:v>528</x:v>
      </x:c>
    </x:row>
    <x:row r="28">
      <x:c r="A28" s="7" t="s">
        <x:v>627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8" width="6" customWidth="1"/>
    <x:col min="9" max="13" width="7" customWidth="1"/>
    <x:col min="14" max="26" width="8.710000038146973" customWidth="1"/>
  </x:cols>
  <x:sheetData>
    <x:row r="1">
      <x:c r="A1" s="1" t="s">
        <x:v>628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</x:row>
    <x:row r="2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4" t="s">
        <x:v>8</x:v>
      </x:c>
      <x:c r="I2" s="4" t="s">
        <x:v>9</x:v>
      </x:c>
      <x:c r="J2" s="4" t="s">
        <x:v>10</x:v>
      </x:c>
      <x:c r="K2" s="4" t="s">
        <x:v>11</x:v>
      </x:c>
      <x:c r="L2" s="4" t="s">
        <x:v>12</x:v>
      </x:c>
      <x:c r="M2" s="4" t="s">
        <x:v>13</x:v>
      </x:c>
    </x:row>
    <x:row r="3">
      <x:c r="A3" s="4">
        <x:v>6403.0</x:v>
      </x:c>
      <x:c r="B3" s="4" t="s">
        <x:v>14</x:v>
      </x:c>
      <x:c r="C3" s="4" t="s">
        <x:v>15</x:v>
      </x:c>
      <x:c r="D3" s="4" t="s">
        <x:v>629</x:v>
      </x:c>
      <x:c r="E3" s="4" t="s">
        <x:v>29</x:v>
      </x:c>
      <x:c r="F3" s="4">
        <x:v>1.0</x:v>
      </x:c>
      <x:c r="G3" s="4">
        <x:v>1.0</x:v>
      </x:c>
      <x:c r="H3" s="4">
        <x:v>0.0</x:v>
      </x:c>
      <x:c r="I3" s="4">
        <x:v>1.0</x:v>
      </x:c>
      <x:c r="J3" s="4">
        <x:v>1.0</x:v>
      </x:c>
      <x:c r="K3" s="4">
        <x:v>0.0</x:v>
      </x:c>
      <x:c r="L3" s="4">
        <x:v>1.0</x:v>
      </x:c>
      <x:c r="M3" s="4">
        <x:v>1.0</x:v>
      </x:c>
    </x:row>
    <x:row r="4">
      <x:c r="A4" s="4">
        <x:v>4518.0</x:v>
      </x:c>
      <x:c r="B4" s="4" t="s">
        <x:v>14</x:v>
      </x:c>
      <x:c r="C4" s="4" t="s">
        <x:v>15</x:v>
      </x:c>
      <x:c r="D4" s="4" t="s">
        <x:v>630</x:v>
      </x:c>
      <x:c r="E4" s="4" t="s">
        <x:v>49</x:v>
      </x:c>
      <x:c r="F4" s="4">
        <x:v>1.0</x:v>
      </x:c>
      <x:c r="G4" s="4">
        <x:v>1.0</x:v>
      </x:c>
      <x:c r="H4" s="4">
        <x:v>0.0</x:v>
      </x:c>
      <x:c r="I4" s="4">
        <x:v>1.0</x:v>
      </x:c>
      <x:c r="J4" s="4">
        <x:v>1.0</x:v>
      </x:c>
      <x:c r="K4" s="4">
        <x:v>0.0</x:v>
      </x:c>
      <x:c r="L4" s="4">
        <x:v>1.0</x:v>
      </x:c>
      <x:c r="M4" s="4">
        <x:v>1.0</x:v>
      </x:c>
    </x:row>
    <x:row r="5">
      <x:c r="A5" s="4">
        <x:v>216.0</x:v>
      </x:c>
      <x:c r="B5" s="4" t="s">
        <x:v>14</x:v>
      </x:c>
      <x:c r="C5" s="4" t="s">
        <x:v>15</x:v>
      </x:c>
      <x:c r="D5" s="4" t="s">
        <x:v>631</x:v>
      </x:c>
      <x:c r="E5" s="4" t="s">
        <x:v>41</x:v>
      </x:c>
      <x:c r="F5" s="4">
        <x:v>1.0</x:v>
      </x:c>
      <x:c r="G5" s="4">
        <x:v>1.0</x:v>
      </x:c>
      <x:c r="H5" s="4">
        <x:v>0.0</x:v>
      </x:c>
      <x:c r="I5" s="4">
        <x:v>1.0</x:v>
      </x:c>
      <x:c r="J5" s="4">
        <x:v>1.0</x:v>
      </x:c>
      <x:c r="K5" s="4">
        <x:v>0.0</x:v>
      </x:c>
      <x:c r="L5" s="4">
        <x:v>1.0</x:v>
      </x:c>
      <x:c r="M5" s="4">
        <x:v>1.0</x:v>
      </x:c>
    </x:row>
    <x:row r="6">
      <x:c r="A6" s="4">
        <x:v>4177.0</x:v>
      </x:c>
      <x:c r="B6" s="4" t="s">
        <x:v>98</x:v>
      </x:c>
      <x:c r="C6" s="4" t="s">
        <x:v>133</x:v>
      </x:c>
      <x:c r="D6" s="4" t="s">
        <x:v>632</x:v>
      </x:c>
      <x:c r="E6" s="4" t="s">
        <x:v>19</x:v>
      </x:c>
      <x:c r="F6" s="4">
        <x:v>8.0</x:v>
      </x:c>
      <x:c r="G6" s="4">
        <x:v>8.0</x:v>
      </x:c>
      <x:c r="H6" s="4">
        <x:v>0.0</x:v>
      </x:c>
      <x:c r="I6" s="4">
        <x:v>9.0</x:v>
      </x:c>
      <x:c r="J6" s="4">
        <x:v>9.0</x:v>
      </x:c>
      <x:c r="K6" s="4">
        <x:v>0.0</x:v>
      </x:c>
      <x:c r="L6" s="4">
        <x:v>22.0</x:v>
      </x:c>
      <x:c r="M6" s="4">
        <x:v>25.0</x:v>
      </x:c>
    </x:row>
    <x:row r="7">
      <x:c r="A7" s="4">
        <x:v>6480.0</x:v>
      </x:c>
      <x:c r="B7" s="4" t="s">
        <x:v>98</x:v>
      </x:c>
      <x:c r="C7" s="4" t="s">
        <x:v>109</x:v>
      </x:c>
      <x:c r="D7" s="4" t="s">
        <x:v>633</x:v>
      </x:c>
      <x:c r="E7" s="4" t="s">
        <x:v>57</x:v>
      </x:c>
      <x:c r="F7" s="4">
        <x:v>8.0</x:v>
      </x:c>
      <x:c r="G7" s="4">
        <x:v>8.0</x:v>
      </x:c>
      <x:c r="H7" s="4">
        <x:v>0.0</x:v>
      </x:c>
      <x:c r="I7" s="4">
        <x:v>8.0</x:v>
      </x:c>
      <x:c r="J7" s="4">
        <x:v>8.0</x:v>
      </x:c>
      <x:c r="K7" s="4">
        <x:v>0.0</x:v>
      </x:c>
      <x:c r="L7" s="4">
        <x:v>17.0</x:v>
      </x:c>
      <x:c r="M7" s="4">
        <x:v>17.0</x:v>
      </x:c>
    </x:row>
    <x:row r="8">
      <x:c r="A8" s="4">
        <x:v>6887.0</x:v>
      </x:c>
      <x:c r="B8" s="4" t="s">
        <x:v>98</x:v>
      </x:c>
      <x:c r="C8" s="4" t="s">
        <x:v>103</x:v>
      </x:c>
      <x:c r="D8" s="4" t="s">
        <x:v>634</x:v>
      </x:c>
      <x:c r="E8" s="4" t="s">
        <x:v>45</x:v>
      </x:c>
      <x:c r="F8" s="4">
        <x:v>7.0</x:v>
      </x:c>
      <x:c r="G8" s="4">
        <x:v>7.0</x:v>
      </x:c>
      <x:c r="H8" s="4">
        <x:v>0.0</x:v>
      </x:c>
      <x:c r="I8" s="4">
        <x:v>7.0</x:v>
      </x:c>
      <x:c r="J8" s="4">
        <x:v>7.0</x:v>
      </x:c>
      <x:c r="K8" s="4">
        <x:v>0.0</x:v>
      </x:c>
      <x:c r="L8" s="4">
        <x:v>13.0</x:v>
      </x:c>
      <x:c r="M8" s="4">
        <x:v>13.0</x:v>
      </x:c>
    </x:row>
    <x:row r="9">
      <x:c r="A9" s="4">
        <x:v>6531.0</x:v>
      </x:c>
      <x:c r="B9" s="4" t="s">
        <x:v>98</x:v>
      </x:c>
      <x:c r="C9" s="4" t="s">
        <x:v>154</x:v>
      </x:c>
      <x:c r="D9" s="4" t="s">
        <x:v>635</x:v>
      </x:c>
      <x:c r="E9" s="4" t="s">
        <x:v>21</x:v>
      </x:c>
      <x:c r="F9" s="4">
        <x:v>5.0</x:v>
      </x:c>
      <x:c r="G9" s="4">
        <x:v>5.0</x:v>
      </x:c>
      <x:c r="H9" s="4">
        <x:v>0.0</x:v>
      </x:c>
      <x:c r="I9" s="4">
        <x:v>5.0</x:v>
      </x:c>
      <x:c r="J9" s="4">
        <x:v>6.0</x:v>
      </x:c>
      <x:c r="K9" s="4">
        <x:v>-1.0</x:v>
      </x:c>
      <x:c r="L9" s="4">
        <x:v>10.0</x:v>
      </x:c>
      <x:c r="M9" s="4">
        <x:v>10.0</x:v>
      </x:c>
    </x:row>
    <x:row r="10">
      <x:c r="A10" s="4">
        <x:v>6055.0</x:v>
      </x:c>
      <x:c r="B10" s="4" t="s">
        <x:v>98</x:v>
      </x:c>
      <x:c r="C10" s="4" t="s">
        <x:v>103</x:v>
      </x:c>
      <x:c r="D10" s="4" t="s">
        <x:v>636</x:v>
      </x:c>
      <x:c r="E10" s="4" t="s">
        <x:v>21</x:v>
      </x:c>
      <x:c r="F10" s="4">
        <x:v>4.0</x:v>
      </x:c>
      <x:c r="G10" s="4">
        <x:v>4.0</x:v>
      </x:c>
      <x:c r="H10" s="4">
        <x:v>0.0</x:v>
      </x:c>
      <x:c r="I10" s="4">
        <x:v>4.0</x:v>
      </x:c>
      <x:c r="J10" s="4">
        <x:v>4.0</x:v>
      </x:c>
      <x:c r="K10" s="4">
        <x:v>0.0</x:v>
      </x:c>
      <x:c r="L10" s="4">
        <x:v>8.0</x:v>
      </x:c>
      <x:c r="M10" s="4">
        <x:v>8.0</x:v>
      </x:c>
    </x:row>
    <x:row r="11">
      <x:c r="A11" s="4">
        <x:v>7020.0</x:v>
      </x:c>
      <x:c r="B11" s="4" t="s">
        <x:v>98</x:v>
      </x:c>
      <x:c r="C11" s="4" t="s">
        <x:v>99</x:v>
      </x:c>
      <x:c r="D11" s="4" t="s">
        <x:v>637</x:v>
      </x:c>
      <x:c r="E11" s="4" t="s">
        <x:v>25</x:v>
      </x:c>
      <x:c r="F11" s="4">
        <x:v>4.0</x:v>
      </x:c>
      <x:c r="G11" s="4">
        <x:v>4.0</x:v>
      </x:c>
      <x:c r="H11" s="4">
        <x:v>0.0</x:v>
      </x:c>
      <x:c r="I11" s="4">
        <x:v>3.0</x:v>
      </x:c>
      <x:c r="J11" s="4">
        <x:v>3.0</x:v>
      </x:c>
      <x:c r="K11" s="4">
        <x:v>0.0</x:v>
      </x:c>
      <x:c r="L11" s="4">
        <x:v>7.0</x:v>
      </x:c>
      <x:c r="M11" s="4">
        <x:v>7.0</x:v>
      </x:c>
    </x:row>
    <x:row r="12">
      <x:c r="A12" s="4">
        <x:v>4982.0</x:v>
      </x:c>
      <x:c r="B12" s="4" t="s">
        <x:v>98</x:v>
      </x:c>
      <x:c r="C12" s="4" t="s">
        <x:v>103</x:v>
      </x:c>
      <x:c r="D12" s="4" t="s">
        <x:v>638</x:v>
      </x:c>
      <x:c r="E12" s="4" t="s">
        <x:v>33</x:v>
      </x:c>
      <x:c r="F12" s="4">
        <x:v>3.0</x:v>
      </x:c>
      <x:c r="G12" s="4">
        <x:v>3.0</x:v>
      </x:c>
      <x:c r="H12" s="4">
        <x:v>0.0</x:v>
      </x:c>
      <x:c r="I12" s="4">
        <x:v>3.0</x:v>
      </x:c>
      <x:c r="J12" s="4">
        <x:v>3.0</x:v>
      </x:c>
      <x:c r="K12" s="4">
        <x:v>0.0</x:v>
      </x:c>
      <x:c r="L12" s="4">
        <x:v>7.0</x:v>
      </x:c>
      <x:c r="M12" s="4">
        <x:v>7.0</x:v>
      </x:c>
    </x:row>
    <x:row r="13">
      <x:c r="A13" s="4">
        <x:v>6231.0</x:v>
      </x:c>
      <x:c r="B13" s="4" t="s">
        <x:v>98</x:v>
      </x:c>
      <x:c r="C13" s="4" t="s">
        <x:v>116</x:v>
      </x:c>
      <x:c r="D13" s="4" t="s">
        <x:v>639</x:v>
      </x:c>
      <x:c r="E13" s="4" t="s">
        <x:v>47</x:v>
      </x:c>
      <x:c r="F13" s="4">
        <x:v>3.0</x:v>
      </x:c>
      <x:c r="G13" s="4">
        <x:v>3.0</x:v>
      </x:c>
      <x:c r="H13" s="4">
        <x:v>0.0</x:v>
      </x:c>
      <x:c r="I13" s="4">
        <x:v>3.0</x:v>
      </x:c>
      <x:c r="J13" s="4">
        <x:v>3.0</x:v>
      </x:c>
      <x:c r="K13" s="4">
        <x:v>0.0</x:v>
      </x:c>
      <x:c r="L13" s="4">
        <x:v>7.0</x:v>
      </x:c>
      <x:c r="M13" s="4">
        <x:v>7.0</x:v>
      </x:c>
    </x:row>
    <x:row r="14">
      <x:c r="A14" s="4">
        <x:v>6245.0</x:v>
      </x:c>
      <x:c r="B14" s="4" t="s">
        <x:v>98</x:v>
      </x:c>
      <x:c r="C14" s="4" t="s">
        <x:v>133</x:v>
      </x:c>
      <x:c r="D14" s="4" t="s">
        <x:v>640</x:v>
      </x:c>
      <x:c r="E14" s="4" t="s">
        <x:v>37</x:v>
      </x:c>
      <x:c r="F14" s="4">
        <x:v>3.0</x:v>
      </x:c>
      <x:c r="G14" s="4">
        <x:v>3.0</x:v>
      </x:c>
      <x:c r="H14" s="4">
        <x:v>0.0</x:v>
      </x:c>
      <x:c r="I14" s="4">
        <x:v>4.0</x:v>
      </x:c>
      <x:c r="J14" s="4">
        <x:v>4.0</x:v>
      </x:c>
      <x:c r="K14" s="4">
        <x:v>0.0</x:v>
      </x:c>
      <x:c r="L14" s="4">
        <x:v>5.0</x:v>
      </x:c>
      <x:c r="M14" s="4">
        <x:v>6.0</x:v>
      </x:c>
    </x:row>
    <x:row r="15">
      <x:c r="A15" s="4">
        <x:v>6802.0</x:v>
      </x:c>
      <x:c r="B15" s="4" t="s">
        <x:v>98</x:v>
      </x:c>
      <x:c r="C15" s="4" t="s">
        <x:v>139</x:v>
      </x:c>
      <x:c r="D15" s="4" t="s">
        <x:v>641</x:v>
      </x:c>
      <x:c r="E15" s="4" t="s">
        <x:v>17</x:v>
      </x:c>
      <x:c r="F15" s="4">
        <x:v>3.0</x:v>
      </x:c>
      <x:c r="G15" s="4">
        <x:v>3.0</x:v>
      </x:c>
      <x:c r="H15" s="4">
        <x:v>0.0</x:v>
      </x:c>
      <x:c r="I15" s="4">
        <x:v>4.0</x:v>
      </x:c>
      <x:c r="J15" s="4">
        <x:v>4.0</x:v>
      </x:c>
      <x:c r="K15" s="4">
        <x:v>0.0</x:v>
      </x:c>
      <x:c r="L15" s="4">
        <x:v>9.0</x:v>
      </x:c>
      <x:c r="M15" s="4">
        <x:v>11.0</x:v>
      </x:c>
    </x:row>
    <x:row r="16">
      <x:c r="A16" s="4">
        <x:v>5353.0</x:v>
      </x:c>
      <x:c r="B16" s="4" t="s">
        <x:v>98</x:v>
      </x:c>
      <x:c r="C16" s="4" t="s">
        <x:v>103</x:v>
      </x:c>
      <x:c r="D16" s="4" t="s">
        <x:v>642</x:v>
      </x:c>
      <x:c r="E16" s="4" t="s">
        <x:v>45</x:v>
      </x:c>
      <x:c r="F16" s="4">
        <x:v>3.0</x:v>
      </x:c>
      <x:c r="G16" s="4">
        <x:v>3.0</x:v>
      </x:c>
      <x:c r="H16" s="4">
        <x:v>0.0</x:v>
      </x:c>
      <x:c r="I16" s="4">
        <x:v>3.0</x:v>
      </x:c>
      <x:c r="J16" s="4">
        <x:v>3.0</x:v>
      </x:c>
      <x:c r="K16" s="4">
        <x:v>0.0</x:v>
      </x:c>
      <x:c r="L16" s="4">
        <x:v>7.0</x:v>
      </x:c>
      <x:c r="M16" s="4">
        <x:v>7.0</x:v>
      </x:c>
    </x:row>
    <x:row r="17">
      <x:c r="A17" s="4">
        <x:v>6533.0</x:v>
      </x:c>
      <x:c r="B17" s="4" t="s">
        <x:v>98</x:v>
      </x:c>
      <x:c r="C17" s="4" t="s">
        <x:v>103</x:v>
      </x:c>
      <x:c r="D17" s="4" t="s">
        <x:v>643</x:v>
      </x:c>
      <x:c r="E17" s="4" t="s">
        <x:v>51</x:v>
      </x:c>
      <x:c r="F17" s="4">
        <x:v>3.0</x:v>
      </x:c>
      <x:c r="G17" s="4">
        <x:v>3.0</x:v>
      </x:c>
      <x:c r="H17" s="4">
        <x:v>0.0</x:v>
      </x:c>
      <x:c r="I17" s="4">
        <x:v>3.0</x:v>
      </x:c>
      <x:c r="J17" s="4">
        <x:v>3.0</x:v>
      </x:c>
      <x:c r="K17" s="4">
        <x:v>0.0</x:v>
      </x:c>
      <x:c r="L17" s="4">
        <x:v>7.0</x:v>
      </x:c>
      <x:c r="M17" s="4">
        <x:v>7.0</x:v>
      </x:c>
    </x:row>
    <x:row r="18">
      <x:c r="A18" s="4">
        <x:v>6944.0</x:v>
      </x:c>
      <x:c r="B18" s="4" t="s">
        <x:v>98</x:v>
      </x:c>
      <x:c r="C18" s="4" t="s">
        <x:v>124</x:v>
      </x:c>
      <x:c r="D18" s="4" t="s">
        <x:v>644</x:v>
      </x:c>
      <x:c r="E18" s="4" t="s">
        <x:v>35</x:v>
      </x:c>
      <x:c r="F18" s="4">
        <x:v>2.0</x:v>
      </x:c>
      <x:c r="G18" s="4">
        <x:v>2.0</x:v>
      </x:c>
      <x:c r="H18" s="4">
        <x:v>0.0</x:v>
      </x:c>
      <x:c r="I18" s="4">
        <x:v>2.0</x:v>
      </x:c>
      <x:c r="J18" s="4">
        <x:v>2.0</x:v>
      </x:c>
      <x:c r="K18" s="4">
        <x:v>0.0</x:v>
      </x:c>
      <x:c r="L18" s="4">
        <x:v>4.0</x:v>
      </x:c>
      <x:c r="M18" s="4">
        <x:v>5.0</x:v>
      </x:c>
    </x:row>
    <x:row r="19">
      <x:c r="A19" s="4">
        <x:v>5860.0</x:v>
      </x:c>
      <x:c r="B19" s="4" t="s">
        <x:v>98</x:v>
      </x:c>
      <x:c r="C19" s="4" t="s">
        <x:v>103</x:v>
      </x:c>
      <x:c r="D19" s="4" t="s">
        <x:v>645</x:v>
      </x:c>
      <x:c r="E19" s="4" t="s">
        <x:v>47</x:v>
      </x:c>
      <x:c r="F19" s="4">
        <x:v>2.0</x:v>
      </x:c>
      <x:c r="G19" s="4">
        <x:v>2.0</x:v>
      </x:c>
      <x:c r="H19" s="4">
        <x:v>0.0</x:v>
      </x:c>
      <x:c r="I19" s="4">
        <x:v>2.0</x:v>
      </x:c>
      <x:c r="J19" s="4">
        <x:v>2.0</x:v>
      </x:c>
      <x:c r="K19" s="4">
        <x:v>0.0</x:v>
      </x:c>
      <x:c r="L19" s="4">
        <x:v>3.0</x:v>
      </x:c>
      <x:c r="M19" s="4">
        <x:v>3.0</x:v>
      </x:c>
    </x:row>
    <x:row r="20">
      <x:c r="A20" s="4">
        <x:v>6821.0</x:v>
      </x:c>
      <x:c r="B20" s="4" t="s">
        <x:v>98</x:v>
      </x:c>
      <x:c r="C20" s="4" t="s">
        <x:v>109</x:v>
      </x:c>
      <x:c r="D20" s="4" t="s">
        <x:v>646</x:v>
      </x:c>
      <x:c r="E20" s="4" t="s">
        <x:v>45</x:v>
      </x:c>
      <x:c r="F20" s="4">
        <x:v>2.0</x:v>
      </x:c>
      <x:c r="G20" s="4">
        <x:v>2.0</x:v>
      </x:c>
      <x:c r="H20" s="4">
        <x:v>0.0</x:v>
      </x:c>
      <x:c r="I20" s="4">
        <x:v>2.0</x:v>
      </x:c>
      <x:c r="J20" s="4">
        <x:v>2.0</x:v>
      </x:c>
      <x:c r="K20" s="4">
        <x:v>0.0</x:v>
      </x:c>
      <x:c r="L20" s="4">
        <x:v>5.0</x:v>
      </x:c>
      <x:c r="M20" s="4">
        <x:v>5.0</x:v>
      </x:c>
    </x:row>
    <x:row r="21" ht="15.75" customHeight="1">
      <x:c r="A21" s="4">
        <x:v>7141.0</x:v>
      </x:c>
      <x:c r="B21" s="4" t="s">
        <x:v>98</x:v>
      </x:c>
      <x:c r="C21" s="4" t="s">
        <x:v>133</x:v>
      </x:c>
      <x:c r="D21" s="4" t="s">
        <x:v>647</x:v>
      </x:c>
      <x:c r="E21" s="4" t="s">
        <x:v>55</x:v>
      </x:c>
      <x:c r="F21" s="4">
        <x:v>2.0</x:v>
      </x:c>
      <x:c r="G21" s="4">
        <x:v>2.0</x:v>
      </x:c>
      <x:c r="H21" s="4">
        <x:v>0.0</x:v>
      </x:c>
      <x:c r="I21" s="4">
        <x:v>2.0</x:v>
      </x:c>
      <x:c r="J21" s="4">
        <x:v>2.0</x:v>
      </x:c>
      <x:c r="K21" s="4">
        <x:v>0.0</x:v>
      </x:c>
      <x:c r="L21" s="4">
        <x:v>3.0</x:v>
      </x:c>
      <x:c r="M21" s="4">
        <x:v>4.0</x:v>
      </x:c>
    </x:row>
    <x:row r="22" ht="15.75" customHeight="1">
      <x:c r="A22" s="4">
        <x:v>4495.0</x:v>
      </x:c>
      <x:c r="B22" s="4" t="s">
        <x:v>98</x:v>
      </x:c>
      <x:c r="C22" s="4" t="s">
        <x:v>103</x:v>
      </x:c>
      <x:c r="D22" s="4" t="s">
        <x:v>648</x:v>
      </x:c>
      <x:c r="E22" s="4" t="s">
        <x:v>25</x:v>
      </x:c>
      <x:c r="F22" s="4">
        <x:v>2.0</x:v>
      </x:c>
      <x:c r="G22" s="4">
        <x:v>2.0</x:v>
      </x:c>
      <x:c r="H22" s="4">
        <x:v>0.0</x:v>
      </x:c>
      <x:c r="I22" s="4">
        <x:v>2.0</x:v>
      </x:c>
      <x:c r="J22" s="4">
        <x:v>2.0</x:v>
      </x:c>
      <x:c r="K22" s="4">
        <x:v>0.0</x:v>
      </x:c>
      <x:c r="L22" s="4">
        <x:v>5.0</x:v>
      </x:c>
      <x:c r="M22" s="4">
        <x:v>5.0</x:v>
      </x:c>
    </x:row>
    <x:row r="23" ht="15.75" customHeight="1">
      <x:c r="A23" s="4">
        <x:v>6189.0</x:v>
      </x:c>
      <x:c r="B23" s="4" t="s">
        <x:v>98</x:v>
      </x:c>
      <x:c r="C23" s="4" t="s">
        <x:v>109</x:v>
      </x:c>
      <x:c r="D23" s="4" t="s">
        <x:v>649</x:v>
      </x:c>
      <x:c r="E23" s="4" t="s">
        <x:v>49</x:v>
      </x:c>
      <x:c r="F23" s="4">
        <x:v>2.0</x:v>
      </x:c>
      <x:c r="G23" s="4">
        <x:v>2.0</x:v>
      </x:c>
      <x:c r="H23" s="4">
        <x:v>0.0</x:v>
      </x:c>
      <x:c r="I23" s="4">
        <x:v>2.0</x:v>
      </x:c>
      <x:c r="J23" s="4">
        <x:v>2.0</x:v>
      </x:c>
      <x:c r="K23" s="4">
        <x:v>0.0</x:v>
      </x:c>
      <x:c r="L23" s="4">
        <x:v>5.0</x:v>
      </x:c>
      <x:c r="M23" s="4">
        <x:v>5.0</x:v>
      </x:c>
    </x:row>
    <x:row r="24" ht="15.75" customHeight="1">
      <x:c r="A24" s="4">
        <x:v>6551.0</x:v>
      </x:c>
      <x:c r="B24" s="4" t="s">
        <x:v>98</x:v>
      </x:c>
      <x:c r="C24" s="4" t="s">
        <x:v>103</x:v>
      </x:c>
      <x:c r="D24" s="4" t="s">
        <x:v>650</x:v>
      </x:c>
      <x:c r="E24" s="4" t="s">
        <x:v>33</x:v>
      </x:c>
      <x:c r="F24" s="4">
        <x:v>1.0</x:v>
      </x:c>
      <x:c r="G24" s="4">
        <x:v>1.0</x:v>
      </x:c>
      <x:c r="H24" s="4">
        <x:v>0.0</x:v>
      </x:c>
      <x:c r="I24" s="4">
        <x:v>1.0</x:v>
      </x:c>
      <x:c r="J24" s="4">
        <x:v>1.0</x:v>
      </x:c>
      <x:c r="K24" s="4">
        <x:v>0.0</x:v>
      </x:c>
      <x:c r="L24" s="4">
        <x:v>2.0</x:v>
      </x:c>
      <x:c r="M24" s="4">
        <x:v>2.0</x:v>
      </x:c>
    </x:row>
    <x:row r="25" ht="15.75" customHeight="1">
      <x:c r="A25" s="4">
        <x:v>6464.0</x:v>
      </x:c>
      <x:c r="B25" s="4" t="s">
        <x:v>98</x:v>
      </x:c>
      <x:c r="C25" s="4" t="s">
        <x:v>103</x:v>
      </x:c>
      <x:c r="D25" s="4" t="s">
        <x:v>651</x:v>
      </x:c>
      <x:c r="E25" s="4" t="s">
        <x:v>39</x:v>
      </x:c>
      <x:c r="F25" s="4">
        <x:v>1.0</x:v>
      </x:c>
      <x:c r="G25" s="4">
        <x:v>1.0</x:v>
      </x:c>
      <x:c r="H25" s="4">
        <x:v>0.0</x:v>
      </x:c>
      <x:c r="I25" s="4">
        <x:v>1.0</x:v>
      </x:c>
      <x:c r="J25" s="4">
        <x:v>1.0</x:v>
      </x:c>
      <x:c r="K25" s="4">
        <x:v>0.0</x:v>
      </x:c>
      <x:c r="L25" s="4">
        <x:v>2.0</x:v>
      </x:c>
      <x:c r="M25" s="4">
        <x:v>2.0</x:v>
      </x:c>
    </x:row>
    <x:row r="26" ht="15.75" customHeight="1">
      <x:c r="A26" s="4">
        <x:v>6636.0</x:v>
      </x:c>
      <x:c r="B26" s="4" t="s">
        <x:v>98</x:v>
      </x:c>
      <x:c r="C26" s="4" t="s">
        <x:v>124</x:v>
      </x:c>
      <x:c r="D26" s="4" t="s">
        <x:v>652</x:v>
      </x:c>
      <x:c r="E26" s="4" t="s">
        <x:v>39</x:v>
      </x:c>
      <x:c r="F26" s="4">
        <x:v>1.0</x:v>
      </x:c>
      <x:c r="G26" s="4">
        <x:v>1.0</x:v>
      </x:c>
      <x:c r="H26" s="4">
        <x:v>0.0</x:v>
      </x:c>
      <x:c r="I26" s="4">
        <x:v>1.0</x:v>
      </x:c>
      <x:c r="J26" s="4">
        <x:v>1.0</x:v>
      </x:c>
      <x:c r="K26" s="4">
        <x:v>0.0</x:v>
      </x:c>
      <x:c r="L26" s="4">
        <x:v>1.0</x:v>
      </x:c>
      <x:c r="M26" s="4">
        <x:v>1.0</x:v>
      </x:c>
    </x:row>
    <x:row r="27" ht="15.75" customHeight="1">
      <x:c r="A27" s="4">
        <x:v>5891.0</x:v>
      </x:c>
      <x:c r="B27" s="4" t="s">
        <x:v>98</x:v>
      </x:c>
      <x:c r="C27" s="4" t="s">
        <x:v>116</x:v>
      </x:c>
      <x:c r="D27" s="4" t="s">
        <x:v>653</x:v>
      </x:c>
      <x:c r="E27" s="4" t="s">
        <x:v>47</x:v>
      </x:c>
      <x:c r="F27" s="4">
        <x:v>1.0</x:v>
      </x:c>
      <x:c r="G27" s="4">
        <x:v>1.0</x:v>
      </x:c>
      <x:c r="H27" s="4">
        <x:v>0.0</x:v>
      </x:c>
      <x:c r="I27" s="4">
        <x:v>1.0</x:v>
      </x:c>
      <x:c r="J27" s="4">
        <x:v>1.0</x:v>
      </x:c>
      <x:c r="K27" s="4">
        <x:v>0.0</x:v>
      </x:c>
      <x:c r="L27" s="4">
        <x:v>2.0</x:v>
      </x:c>
      <x:c r="M27" s="4">
        <x:v>2.0</x:v>
      </x:c>
    </x:row>
    <x:row r="28" ht="15.75" customHeight="1">
      <x:c r="A28" s="4">
        <x:v>6885.0</x:v>
      </x:c>
      <x:c r="B28" s="4" t="s">
        <x:v>98</x:v>
      </x:c>
      <x:c r="C28" s="4" t="s">
        <x:v>109</x:v>
      </x:c>
      <x:c r="D28" s="4" t="s">
        <x:v>654</x:v>
      </x:c>
      <x:c r="E28" s="4" t="s">
        <x:v>25</x:v>
      </x:c>
      <x:c r="F28" s="4">
        <x:v>1.0</x:v>
      </x:c>
      <x:c r="G28" s="4">
        <x:v>1.0</x:v>
      </x:c>
      <x:c r="H28" s="4">
        <x:v>0.0</x:v>
      </x:c>
      <x:c r="I28" s="4">
        <x:v>1.0</x:v>
      </x:c>
      <x:c r="J28" s="4">
        <x:v>1.0</x:v>
      </x:c>
      <x:c r="K28" s="4">
        <x:v>0.0</x:v>
      </x:c>
      <x:c r="L28" s="4">
        <x:v>1.0</x:v>
      </x:c>
      <x:c r="M28" s="4">
        <x:v>1.0</x:v>
      </x:c>
    </x:row>
    <x:row r="29" ht="15.75" customHeight="1">
      <x:c r="A29" s="4">
        <x:v>5324.0</x:v>
      </x:c>
      <x:c r="B29" s="4" t="s">
        <x:v>98</x:v>
      </x:c>
      <x:c r="C29" s="4" t="s">
        <x:v>655</x:v>
      </x:c>
      <x:c r="D29" s="4" t="s">
        <x:v>656</x:v>
      </x:c>
      <x:c r="E29" s="4" t="s">
        <x:v>27</x:v>
      </x:c>
      <x:c r="F29" s="4">
        <x:v>1.0</x:v>
      </x:c>
      <x:c r="G29" s="4">
        <x:v>1.0</x:v>
      </x:c>
      <x:c r="H29" s="4">
        <x:v>0.0</x:v>
      </x:c>
      <x:c r="I29" s="4">
        <x:v>1.0</x:v>
      </x:c>
      <x:c r="J29" s="4">
        <x:v>1.0</x:v>
      </x:c>
      <x:c r="K29" s="4">
        <x:v>0.0</x:v>
      </x:c>
      <x:c r="L29" s="4">
        <x:v>1.0</x:v>
      </x:c>
      <x:c r="M29" s="4">
        <x:v>1.0</x:v>
      </x:c>
    </x:row>
    <x:row r="30" ht="15.75" customHeight="1">
      <x:c r="A30" s="4">
        <x:v>5564.0</x:v>
      </x:c>
      <x:c r="B30" s="4" t="s">
        <x:v>301</x:v>
      </x:c>
      <x:c r="C30" s="4" t="s">
        <x:v>316</x:v>
      </x:c>
      <x:c r="D30" s="4" t="s">
        <x:v>657</x:v>
      </x:c>
      <x:c r="E30" s="4" t="s">
        <x:v>33</x:v>
      </x:c>
      <x:c r="F30" s="4">
        <x:v>19.0</x:v>
      </x:c>
      <x:c r="G30" s="4">
        <x:v>19.0</x:v>
      </x:c>
      <x:c r="H30" s="4">
        <x:v>0.0</x:v>
      </x:c>
      <x:c r="I30" s="4">
        <x:v>18.0</x:v>
      </x:c>
      <x:c r="J30" s="4">
        <x:v>18.0</x:v>
      </x:c>
      <x:c r="K30" s="4">
        <x:v>0.0</x:v>
      </x:c>
      <x:c r="L30" s="4">
        <x:v>60.0</x:v>
      </x:c>
      <x:c r="M30" s="4">
        <x:v>60.0</x:v>
      </x:c>
    </x:row>
    <x:row r="31" ht="15.75" customHeight="1">
      <x:c r="A31" s="4">
        <x:v>4486.0</x:v>
      </x:c>
      <x:c r="B31" s="4" t="s">
        <x:v>301</x:v>
      </x:c>
      <x:c r="C31" s="4" t="s">
        <x:v>316</x:v>
      </x:c>
      <x:c r="D31" s="4" t="s">
        <x:v>658</x:v>
      </x:c>
      <x:c r="E31" s="4" t="s">
        <x:v>35</x:v>
      </x:c>
      <x:c r="F31" s="4">
        <x:v>14.0</x:v>
      </x:c>
      <x:c r="G31" s="4">
        <x:v>14.0</x:v>
      </x:c>
      <x:c r="H31" s="4">
        <x:v>0.0</x:v>
      </x:c>
      <x:c r="I31" s="4">
        <x:v>13.0</x:v>
      </x:c>
      <x:c r="J31" s="4">
        <x:v>13.0</x:v>
      </x:c>
      <x:c r="K31" s="4">
        <x:v>0.0</x:v>
      </x:c>
      <x:c r="L31" s="4">
        <x:v>22.0</x:v>
      </x:c>
      <x:c r="M31" s="4">
        <x:v>22.0</x:v>
      </x:c>
    </x:row>
    <x:row r="32" ht="15.75" customHeight="1">
      <x:c r="A32" s="4">
        <x:v>5393.0</x:v>
      </x:c>
      <x:c r="B32" s="4" t="s">
        <x:v>301</x:v>
      </x:c>
      <x:c r="C32" s="4" t="s">
        <x:v>302</x:v>
      </x:c>
      <x:c r="D32" s="4" t="s">
        <x:v>659</x:v>
      </x:c>
      <x:c r="E32" s="4" t="s">
        <x:v>45</x:v>
      </x:c>
      <x:c r="F32" s="4">
        <x:v>11.0</x:v>
      </x:c>
      <x:c r="G32" s="4">
        <x:v>11.0</x:v>
      </x:c>
      <x:c r="H32" s="4">
        <x:v>0.0</x:v>
      </x:c>
      <x:c r="I32" s="4">
        <x:v>11.0</x:v>
      </x:c>
      <x:c r="J32" s="4">
        <x:v>11.0</x:v>
      </x:c>
      <x:c r="K32" s="4">
        <x:v>0.0</x:v>
      </x:c>
      <x:c r="L32" s="4">
        <x:v>15.0</x:v>
      </x:c>
      <x:c r="M32" s="4">
        <x:v>15.0</x:v>
      </x:c>
    </x:row>
    <x:row r="33" ht="15.75" customHeight="1">
      <x:c r="A33" s="4">
        <x:v>4662.0</x:v>
      </x:c>
      <x:c r="B33" s="4" t="s">
        <x:v>301</x:v>
      </x:c>
      <x:c r="C33" s="4" t="s">
        <x:v>342</x:v>
      </x:c>
      <x:c r="D33" s="4" t="s">
        <x:v>660</x:v>
      </x:c>
      <x:c r="E33" s="4" t="s">
        <x:v>17</x:v>
      </x:c>
      <x:c r="F33" s="4">
        <x:v>7.0</x:v>
      </x:c>
      <x:c r="G33" s="4">
        <x:v>7.0</x:v>
      </x:c>
      <x:c r="H33" s="4">
        <x:v>0.0</x:v>
      </x:c>
      <x:c r="I33" s="4">
        <x:v>7.0</x:v>
      </x:c>
      <x:c r="J33" s="4">
        <x:v>7.0</x:v>
      </x:c>
      <x:c r="K33" s="4">
        <x:v>0.0</x:v>
      </x:c>
      <x:c r="L33" s="4">
        <x:v>5.0</x:v>
      </x:c>
      <x:c r="M33" s="4">
        <x:v>5.0</x:v>
      </x:c>
    </x:row>
    <x:row r="34" ht="15.75" customHeight="1">
      <x:c r="A34" s="4">
        <x:v>2842.0</x:v>
      </x:c>
      <x:c r="B34" s="4" t="s">
        <x:v>301</x:v>
      </x:c>
      <x:c r="C34" s="4" t="s">
        <x:v>316</x:v>
      </x:c>
      <x:c r="D34" s="4" t="s">
        <x:v>661</x:v>
      </x:c>
      <x:c r="E34" s="4" t="s">
        <x:v>47</x:v>
      </x:c>
      <x:c r="F34" s="4">
        <x:v>5.0</x:v>
      </x:c>
      <x:c r="G34" s="4">
        <x:v>5.0</x:v>
      </x:c>
      <x:c r="H34" s="4">
        <x:v>0.0</x:v>
      </x:c>
      <x:c r="I34" s="4">
        <x:v>4.0</x:v>
      </x:c>
      <x:c r="J34" s="4">
        <x:v>4.0</x:v>
      </x:c>
      <x:c r="K34" s="4">
        <x:v>0.0</x:v>
      </x:c>
      <x:c r="L34" s="4">
        <x:v>5.0</x:v>
      </x:c>
      <x:c r="M34" s="4">
        <x:v>5.0</x:v>
      </x:c>
    </x:row>
    <x:row r="35" ht="15.75" customHeight="1">
      <x:c r="A35" s="4">
        <x:v>4856.0</x:v>
      </x:c>
      <x:c r="B35" s="4" t="s">
        <x:v>301</x:v>
      </x:c>
      <x:c r="C35" s="4" t="s">
        <x:v>316</x:v>
      </x:c>
      <x:c r="D35" s="4" t="s">
        <x:v>662</x:v>
      </x:c>
      <x:c r="E35" s="4" t="s">
        <x:v>21</x:v>
      </x:c>
      <x:c r="F35" s="4">
        <x:v>4.0</x:v>
      </x:c>
      <x:c r="G35" s="4">
        <x:v>4.0</x:v>
      </x:c>
      <x:c r="H35" s="4">
        <x:v>0.0</x:v>
      </x:c>
      <x:c r="I35" s="4">
        <x:v>3.0</x:v>
      </x:c>
      <x:c r="J35" s="4">
        <x:v>3.0</x:v>
      </x:c>
      <x:c r="K35" s="4">
        <x:v>0.0</x:v>
      </x:c>
      <x:c r="L35" s="4">
        <x:v>11.0</x:v>
      </x:c>
      <x:c r="M35" s="4">
        <x:v>9.0</x:v>
      </x:c>
    </x:row>
    <x:row r="36" ht="15.75" customHeight="1">
      <x:c r="A36" s="4">
        <x:v>4930.0</x:v>
      </x:c>
      <x:c r="B36" s="4" t="s">
        <x:v>301</x:v>
      </x:c>
      <x:c r="C36" s="4" t="s">
        <x:v>313</x:v>
      </x:c>
      <x:c r="D36" s="4" t="s">
        <x:v>663</x:v>
      </x:c>
      <x:c r="E36" s="4" t="s">
        <x:v>49</x:v>
      </x:c>
      <x:c r="F36" s="4">
        <x:v>4.0</x:v>
      </x:c>
      <x:c r="G36" s="4">
        <x:v>4.0</x:v>
      </x:c>
      <x:c r="H36" s="4">
        <x:v>0.0</x:v>
      </x:c>
      <x:c r="I36" s="4">
        <x:v>4.0</x:v>
      </x:c>
      <x:c r="J36" s="4">
        <x:v>4.0</x:v>
      </x:c>
      <x:c r="K36" s="4">
        <x:v>0.0</x:v>
      </x:c>
      <x:c r="L36" s="4">
        <x:v>9.0</x:v>
      </x:c>
      <x:c r="M36" s="4">
        <x:v>12.0</x:v>
      </x:c>
    </x:row>
    <x:row r="37" ht="15.75" customHeight="1">
      <x:c r="A37" s="4">
        <x:v>6225.0</x:v>
      </x:c>
      <x:c r="B37" s="4" t="s">
        <x:v>301</x:v>
      </x:c>
      <x:c r="C37" s="4" t="s">
        <x:v>313</x:v>
      </x:c>
      <x:c r="D37" s="4" t="s">
        <x:v>664</x:v>
      </x:c>
      <x:c r="E37" s="4" t="s">
        <x:v>33</x:v>
      </x:c>
      <x:c r="F37" s="4">
        <x:v>3.0</x:v>
      </x:c>
      <x:c r="G37" s="4">
        <x:v>3.0</x:v>
      </x:c>
      <x:c r="H37" s="4">
        <x:v>0.0</x:v>
      </x:c>
      <x:c r="I37" s="4">
        <x:v>3.0</x:v>
      </x:c>
      <x:c r="J37" s="4">
        <x:v>3.0</x:v>
      </x:c>
      <x:c r="K37" s="4">
        <x:v>0.0</x:v>
      </x:c>
      <x:c r="L37" s="4">
        <x:v>7.0</x:v>
      </x:c>
      <x:c r="M37" s="4">
        <x:v>7.0</x:v>
      </x:c>
    </x:row>
    <x:row r="38" ht="15.75" customHeight="1">
      <x:c r="A38" s="4">
        <x:v>5863.0</x:v>
      </x:c>
      <x:c r="B38" s="4" t="s">
        <x:v>301</x:v>
      </x:c>
      <x:c r="C38" s="4" t="s">
        <x:v>313</x:v>
      </x:c>
      <x:c r="D38" s="4" t="s">
        <x:v>665</x:v>
      </x:c>
      <x:c r="E38" s="4" t="s">
        <x:v>47</x:v>
      </x:c>
      <x:c r="F38" s="4">
        <x:v>3.0</x:v>
      </x:c>
      <x:c r="G38" s="4">
        <x:v>3.0</x:v>
      </x:c>
      <x:c r="H38" s="4">
        <x:v>0.0</x:v>
      </x:c>
      <x:c r="I38" s="4">
        <x:v>3.0</x:v>
      </x:c>
      <x:c r="J38" s="4">
        <x:v>3.0</x:v>
      </x:c>
      <x:c r="K38" s="4">
        <x:v>0.0</x:v>
      </x:c>
      <x:c r="L38" s="4">
        <x:v>5.0</x:v>
      </x:c>
      <x:c r="M38" s="4">
        <x:v>5.0</x:v>
      </x:c>
    </x:row>
    <x:row r="39" ht="15.75" customHeight="1">
      <x:c r="A39" s="4">
        <x:v>4911.0</x:v>
      </x:c>
      <x:c r="B39" s="4" t="s">
        <x:v>301</x:v>
      </x:c>
      <x:c r="C39" s="4" t="s">
        <x:v>301</x:v>
      </x:c>
      <x:c r="D39" s="4" t="s">
        <x:v>666</x:v>
      </x:c>
      <x:c r="E39" s="4" t="s">
        <x:v>17</x:v>
      </x:c>
      <x:c r="F39" s="4">
        <x:v>3.0</x:v>
      </x:c>
      <x:c r="G39" s="4">
        <x:v>3.0</x:v>
      </x:c>
      <x:c r="H39" s="4">
        <x:v>0.0</x:v>
      </x:c>
      <x:c r="I39" s="4">
        <x:v>3.0</x:v>
      </x:c>
      <x:c r="J39" s="4">
        <x:v>3.0</x:v>
      </x:c>
      <x:c r="K39" s="4">
        <x:v>0.0</x:v>
      </x:c>
      <x:c r="L39" s="4">
        <x:v>6.0</x:v>
      </x:c>
      <x:c r="M39" s="4">
        <x:v>6.0</x:v>
      </x:c>
    </x:row>
    <x:row r="40" ht="15.75" customHeight="1">
      <x:c r="A40" s="4">
        <x:v>6676.0</x:v>
      </x:c>
      <x:c r="B40" s="4" t="s">
        <x:v>301</x:v>
      </x:c>
      <x:c r="C40" s="4" t="s">
        <x:v>313</x:v>
      </x:c>
      <x:c r="D40" s="4" t="s">
        <x:v>667</x:v>
      </x:c>
      <x:c r="E40" s="4" t="s">
        <x:v>35</x:v>
      </x:c>
      <x:c r="F40" s="4">
        <x:v>2.0</x:v>
      </x:c>
      <x:c r="G40" s="4">
        <x:v>2.0</x:v>
      </x:c>
      <x:c r="H40" s="4">
        <x:v>0.0</x:v>
      </x:c>
      <x:c r="I40" s="4">
        <x:v>2.0</x:v>
      </x:c>
      <x:c r="J40" s="4">
        <x:v>2.0</x:v>
      </x:c>
      <x:c r="K40" s="4">
        <x:v>0.0</x:v>
      </x:c>
      <x:c r="L40" s="4">
        <x:v>3.0</x:v>
      </x:c>
      <x:c r="M40" s="4">
        <x:v>3.0</x:v>
      </x:c>
    </x:row>
    <x:row r="41" ht="15.75" customHeight="1">
      <x:c r="A41" s="4">
        <x:v>5857.0</x:v>
      </x:c>
      <x:c r="B41" s="4" t="s">
        <x:v>301</x:v>
      </x:c>
      <x:c r="C41" s="4" t="s">
        <x:v>313</x:v>
      </x:c>
      <x:c r="D41" s="4" t="s">
        <x:v>668</x:v>
      </x:c>
      <x:c r="E41" s="4" t="s">
        <x:v>47</x:v>
      </x:c>
      <x:c r="F41" s="4">
        <x:v>2.0</x:v>
      </x:c>
      <x:c r="G41" s="4">
        <x:v>2.0</x:v>
      </x:c>
      <x:c r="H41" s="4">
        <x:v>0.0</x:v>
      </x:c>
      <x:c r="I41" s="4">
        <x:v>2.0</x:v>
      </x:c>
      <x:c r="J41" s="4">
        <x:v>2.0</x:v>
      </x:c>
      <x:c r="K41" s="4">
        <x:v>0.0</x:v>
      </x:c>
      <x:c r="L41" s="4">
        <x:v>3.0</x:v>
      </x:c>
      <x:c r="M41" s="4">
        <x:v>3.0</x:v>
      </x:c>
    </x:row>
    <x:row r="42" ht="15.75" customHeight="1">
      <x:c r="A42" s="4">
        <x:v>6656.0</x:v>
      </x:c>
      <x:c r="B42" s="4" t="s">
        <x:v>301</x:v>
      </x:c>
      <x:c r="C42" s="4" t="s">
        <x:v>313</x:v>
      </x:c>
      <x:c r="D42" s="4" t="s">
        <x:v>669</x:v>
      </x:c>
      <x:c r="E42" s="4" t="s">
        <x:v>35</x:v>
      </x:c>
      <x:c r="F42" s="4">
        <x:v>1.0</x:v>
      </x:c>
      <x:c r="G42" s="4">
        <x:v>1.0</x:v>
      </x:c>
      <x:c r="H42" s="4">
        <x:v>0.0</x:v>
      </x:c>
      <x:c r="I42" s="4">
        <x:v>1.0</x:v>
      </x:c>
      <x:c r="J42" s="4">
        <x:v>1.0</x:v>
      </x:c>
      <x:c r="K42" s="4">
        <x:v>0.0</x:v>
      </x:c>
      <x:c r="L42" s="4">
        <x:v>1.0</x:v>
      </x:c>
      <x:c r="M42" s="4">
        <x:v>1.0</x:v>
      </x:c>
    </x:row>
    <x:row r="43" ht="15.75" customHeight="1">
      <x:c r="A43" s="4">
        <x:v>2553.0</x:v>
      </x:c>
      <x:c r="B43" s="4" t="s">
        <x:v>301</x:v>
      </x:c>
      <x:c r="C43" s="4" t="s">
        <x:v>310</x:v>
      </x:c>
      <x:c r="D43" s="4" t="s">
        <x:v>670</x:v>
      </x:c>
      <x:c r="E43" s="4" t="s">
        <x:v>35</x:v>
      </x:c>
      <x:c r="F43" s="4">
        <x:v>1.0</x:v>
      </x:c>
      <x:c r="G43" s="4">
        <x:v>1.0</x:v>
      </x:c>
      <x:c r="H43" s="4">
        <x:v>0.0</x:v>
      </x:c>
      <x:c r="I43" s="4">
        <x:v>1.0</x:v>
      </x:c>
      <x:c r="J43" s="4">
        <x:v>1.0</x:v>
      </x:c>
      <x:c r="K43" s="4">
        <x:v>0.0</x:v>
      </x:c>
      <x:c r="L43" s="4">
        <x:v>1.0</x:v>
      </x:c>
      <x:c r="M43" s="4">
        <x:v>1.0</x:v>
      </x:c>
    </x:row>
    <x:row r="44" ht="15.75" customHeight="1">
      <x:c r="A44" s="4">
        <x:v>5516.0</x:v>
      </x:c>
      <x:c r="B44" s="4" t="s">
        <x:v>301</x:v>
      </x:c>
      <x:c r="C44" s="4" t="s">
        <x:v>313</x:v>
      </x:c>
      <x:c r="D44" s="4" t="s">
        <x:v>671</x:v>
      </x:c>
      <x:c r="E44" s="4" t="s">
        <x:v>29</x:v>
      </x:c>
      <x:c r="F44" s="4">
        <x:v>1.0</x:v>
      </x:c>
      <x:c r="G44" s="4">
        <x:v>1.0</x:v>
      </x:c>
      <x:c r="H44" s="4">
        <x:v>0.0</x:v>
      </x:c>
      <x:c r="I44" s="4">
        <x:v>1.0</x:v>
      </x:c>
      <x:c r="J44" s="4">
        <x:v>1.0</x:v>
      </x:c>
      <x:c r="K44" s="4">
        <x:v>0.0</x:v>
      </x:c>
      <x:c r="L44" s="4">
        <x:v>2.0</x:v>
      </x:c>
      <x:c r="M44" s="4">
        <x:v>3.0</x:v>
      </x:c>
    </x:row>
    <x:row r="45" ht="15.75" customHeight="1">
      <x:c r="A45" s="4">
        <x:v>6678.0</x:v>
      </x:c>
      <x:c r="B45" s="4" t="s">
        <x:v>301</x:v>
      </x:c>
      <x:c r="C45" s="4" t="s">
        <x:v>330</x:v>
      </x:c>
      <x:c r="D45" s="4" t="s">
        <x:v>672</x:v>
      </x:c>
      <x:c r="E45" s="4" t="s">
        <x:v>21</x:v>
      </x:c>
      <x:c r="F45" s="4">
        <x:v>1.0</x:v>
      </x:c>
      <x:c r="G45" s="4">
        <x:v>1.0</x:v>
      </x:c>
      <x:c r="H45" s="4">
        <x:v>0.0</x:v>
      </x:c>
      <x:c r="I45" s="4">
        <x:v>1.0</x:v>
      </x:c>
      <x:c r="J45" s="4">
        <x:v>1.0</x:v>
      </x:c>
      <x:c r="K45" s="4">
        <x:v>0.0</x:v>
      </x:c>
      <x:c r="L45" s="4">
        <x:v>1.0</x:v>
      </x:c>
      <x:c r="M45" s="4">
        <x:v>1.0</x:v>
      </x:c>
    </x:row>
    <x:row r="46" ht="15.75" customHeight="1">
      <x:c r="A46" s="4">
        <x:v>7151.0</x:v>
      </x:c>
      <x:c r="B46" s="4" t="s">
        <x:v>301</x:v>
      </x:c>
      <x:c r="C46" s="4" t="s">
        <x:v>330</x:v>
      </x:c>
      <x:c r="D46" s="4" t="s">
        <x:v>673</x:v>
      </x:c>
      <x:c r="E46" s="4" t="s">
        <x:v>55</x:v>
      </x:c>
      <x:c r="F46" s="4">
        <x:v>1.0</x:v>
      </x:c>
      <x:c r="G46" s="4">
        <x:v>1.0</x:v>
      </x:c>
      <x:c r="H46" s="4">
        <x:v>0.0</x:v>
      </x:c>
      <x:c r="I46" s="4">
        <x:v>1.0</x:v>
      </x:c>
      <x:c r="J46" s="4">
        <x:v>1.0</x:v>
      </x:c>
      <x:c r="K46" s="4">
        <x:v>0.0</x:v>
      </x:c>
      <x:c r="L46" s="4">
        <x:v>1.0</x:v>
      </x:c>
      <x:c r="M46" s="4">
        <x:v>1.0</x:v>
      </x:c>
    </x:row>
    <x:row r="47" ht="15.75" customHeight="1">
      <x:c r="A47" s="4">
        <x:v>5824.0</x:v>
      </x:c>
      <x:c r="B47" s="4" t="s">
        <x:v>301</x:v>
      </x:c>
      <x:c r="C47" s="4" t="s">
        <x:v>304</x:v>
      </x:c>
      <x:c r="D47" s="4" t="s">
        <x:v>674</x:v>
      </x:c>
      <x:c r="E47" s="4" t="s">
        <x:v>51</x:v>
      </x:c>
      <x:c r="F47" s="4">
        <x:v>1.0</x:v>
      </x:c>
      <x:c r="G47" s="4">
        <x:v>1.0</x:v>
      </x:c>
      <x:c r="H47" s="4">
        <x:v>0.0</x:v>
      </x:c>
      <x:c r="I47" s="4">
        <x:v>1.0</x:v>
      </x:c>
      <x:c r="J47" s="4">
        <x:v>1.0</x:v>
      </x:c>
      <x:c r="K47" s="4">
        <x:v>0.0</x:v>
      </x:c>
      <x:c r="L47" s="4">
        <x:v>6.0</x:v>
      </x:c>
      <x:c r="M47" s="4">
        <x:v>6.0</x:v>
      </x:c>
    </x:row>
    <x:row r="48" ht="15.75" customHeight="1">
      <x:c r="A48" s="4">
        <x:v>6618.0</x:v>
      </x:c>
      <x:c r="B48" s="4" t="s">
        <x:v>301</x:v>
      </x:c>
      <x:c r="C48" s="4" t="s">
        <x:v>330</x:v>
      </x:c>
      <x:c r="D48" s="4" t="s">
        <x:v>675</x:v>
      </x:c>
      <x:c r="E48" s="4" t="s">
        <x:v>57</x:v>
      </x:c>
      <x:c r="F48" s="4">
        <x:v>1.0</x:v>
      </x:c>
      <x:c r="G48" s="4">
        <x:v>1.0</x:v>
      </x:c>
      <x:c r="H48" s="4">
        <x:v>0.0</x:v>
      </x:c>
      <x:c r="I48" s="4">
        <x:v>1.0</x:v>
      </x:c>
      <x:c r="J48" s="4">
        <x:v>1.0</x:v>
      </x:c>
      <x:c r="K48" s="4">
        <x:v>0.0</x:v>
      </x:c>
      <x:c r="L48" s="4">
        <x:v>1.0</x:v>
      </x:c>
      <x:c r="M48" s="4">
        <x:v>1.0</x:v>
      </x:c>
    </x:row>
    <x:row r="49" ht="15.75" customHeight="1">
      <x:c r="A49" s="4">
        <x:v>2369.0</x:v>
      </x:c>
      <x:c r="B49" s="4" t="s">
        <x:v>496</x:v>
      </x:c>
      <x:c r="C49" s="4" t="s">
        <x:v>496</x:v>
      </x:c>
      <x:c r="D49" s="4" t="s">
        <x:v>676</x:v>
      </x:c>
      <x:c r="E49" s="4" t="s">
        <x:v>51</x:v>
      </x:c>
      <x:c r="F49" s="4">
        <x:v>16.0</x:v>
      </x:c>
      <x:c r="G49" s="4">
        <x:v>16.0</x:v>
      </x:c>
      <x:c r="H49" s="4">
        <x:v>0.0</x:v>
      </x:c>
      <x:c r="I49" s="4">
        <x:v>16.0</x:v>
      </x:c>
      <x:c r="J49" s="4">
        <x:v>16.0</x:v>
      </x:c>
      <x:c r="K49" s="4">
        <x:v>0.0</x:v>
      </x:c>
      <x:c r="L49" s="4">
        <x:v>64.0</x:v>
      </x:c>
      <x:c r="M49" s="4">
        <x:v>64.0</x:v>
      </x:c>
    </x:row>
    <x:row r="50" ht="15.75" customHeight="1">
      <x:c r="A50" s="4">
        <x:v>4371.0</x:v>
      </x:c>
      <x:c r="B50" s="4" t="s">
        <x:v>496</x:v>
      </x:c>
      <x:c r="C50" s="4" t="s">
        <x:v>496</x:v>
      </x:c>
      <x:c r="D50" s="4" t="s">
        <x:v>677</x:v>
      </x:c>
      <x:c r="E50" s="4" t="s">
        <x:v>23</x:v>
      </x:c>
      <x:c r="F50" s="4">
        <x:v>13.0</x:v>
      </x:c>
      <x:c r="G50" s="4">
        <x:v>13.0</x:v>
      </x:c>
      <x:c r="H50" s="4">
        <x:v>0.0</x:v>
      </x:c>
      <x:c r="I50" s="4">
        <x:v>13.0</x:v>
      </x:c>
      <x:c r="J50" s="4">
        <x:v>13.0</x:v>
      </x:c>
      <x:c r="K50" s="4">
        <x:v>0.0</x:v>
      </x:c>
      <x:c r="L50" s="4">
        <x:v>14.0</x:v>
      </x:c>
      <x:c r="M50" s="4">
        <x:v>14.0</x:v>
      </x:c>
    </x:row>
    <x:row r="51" ht="15.75" customHeight="1">
      <x:c r="A51" s="4">
        <x:v>4179.0</x:v>
      </x:c>
      <x:c r="B51" s="4" t="s">
        <x:v>496</x:v>
      </x:c>
      <x:c r="C51" s="4" t="s">
        <x:v>302</x:v>
      </x:c>
      <x:c r="D51" s="4" t="s">
        <x:v>678</x:v>
      </x:c>
      <x:c r="E51" s="4" t="s">
        <x:v>17</x:v>
      </x:c>
      <x:c r="F51" s="4">
        <x:v>11.0</x:v>
      </x:c>
      <x:c r="G51" s="4">
        <x:v>12.0</x:v>
      </x:c>
      <x:c r="H51" s="4">
        <x:v>-1.0</x:v>
      </x:c>
      <x:c r="I51" s="4">
        <x:v>11.0</x:v>
      </x:c>
      <x:c r="J51" s="4">
        <x:v>12.0</x:v>
      </x:c>
      <x:c r="K51" s="4">
        <x:v>-1.0</x:v>
      </x:c>
      <x:c r="L51" s="4">
        <x:v>15.0</x:v>
      </x:c>
      <x:c r="M51" s="4">
        <x:v>15.0</x:v>
      </x:c>
    </x:row>
    <x:row r="52" ht="15.75" customHeight="1">
      <x:c r="A52" s="4">
        <x:v>6229.0</x:v>
      </x:c>
      <x:c r="B52" s="4" t="s">
        <x:v>496</x:v>
      </x:c>
      <x:c r="C52" s="4" t="s">
        <x:v>497</x:v>
      </x:c>
      <x:c r="D52" s="4" t="s">
        <x:v>679</x:v>
      </x:c>
      <x:c r="E52" s="4" t="s">
        <x:v>27</x:v>
      </x:c>
      <x:c r="F52" s="4">
        <x:v>7.0</x:v>
      </x:c>
      <x:c r="G52" s="4">
        <x:v>7.0</x:v>
      </x:c>
      <x:c r="H52" s="4">
        <x:v>0.0</x:v>
      </x:c>
      <x:c r="I52" s="4">
        <x:v>6.0</x:v>
      </x:c>
      <x:c r="J52" s="4">
        <x:v>6.0</x:v>
      </x:c>
      <x:c r="K52" s="4">
        <x:v>0.0</x:v>
      </x:c>
      <x:c r="L52" s="4">
        <x:v>9.0</x:v>
      </x:c>
      <x:c r="M52" s="4">
        <x:v>9.0</x:v>
      </x:c>
    </x:row>
    <x:row r="53" ht="15.75" customHeight="1">
      <x:c r="A53" s="4">
        <x:v>6409.0</x:v>
      </x:c>
      <x:c r="B53" s="4" t="s">
        <x:v>496</x:v>
      </x:c>
      <x:c r="C53" s="4" t="s">
        <x:v>496</x:v>
      </x:c>
      <x:c r="D53" s="4" t="s">
        <x:v>680</x:v>
      </x:c>
      <x:c r="E53" s="4" t="s">
        <x:v>29</x:v>
      </x:c>
      <x:c r="F53" s="4">
        <x:v>6.0</x:v>
      </x:c>
      <x:c r="G53" s="4">
        <x:v>7.0</x:v>
      </x:c>
      <x:c r="H53" s="4">
        <x:v>-1.0</x:v>
      </x:c>
      <x:c r="I53" s="4">
        <x:v>6.0</x:v>
      </x:c>
      <x:c r="J53" s="4">
        <x:v>7.0</x:v>
      </x:c>
      <x:c r="K53" s="4">
        <x:v>-1.0</x:v>
      </x:c>
      <x:c r="L53" s="4">
        <x:v>10.0</x:v>
      </x:c>
      <x:c r="M53" s="4">
        <x:v>10.0</x:v>
      </x:c>
    </x:row>
    <x:row r="54" ht="15.75" customHeight="1">
      <x:c r="A54" s="4">
        <x:v>2475.0</x:v>
      </x:c>
      <x:c r="B54" s="4" t="s">
        <x:v>496</x:v>
      </x:c>
      <x:c r="C54" s="4" t="s">
        <x:v>496</x:v>
      </x:c>
      <x:c r="D54" s="4" t="s">
        <x:v>681</x:v>
      </x:c>
      <x:c r="E54" s="4" t="s">
        <x:v>51</x:v>
      </x:c>
      <x:c r="F54" s="4">
        <x:v>6.0</x:v>
      </x:c>
      <x:c r="G54" s="4">
        <x:v>7.0</x:v>
      </x:c>
      <x:c r="H54" s="4">
        <x:v>-1.0</x:v>
      </x:c>
      <x:c r="I54" s="4">
        <x:v>6.0</x:v>
      </x:c>
      <x:c r="J54" s="4">
        <x:v>7.0</x:v>
      </x:c>
      <x:c r="K54" s="4">
        <x:v>-1.0</x:v>
      </x:c>
      <x:c r="L54" s="4">
        <x:v>10.0</x:v>
      </x:c>
      <x:c r="M54" s="4">
        <x:v>10.0</x:v>
      </x:c>
    </x:row>
    <x:row r="55" ht="15.75" customHeight="1">
      <x:c r="A55" s="4">
        <x:v>6205.0</x:v>
      </x:c>
      <x:c r="B55" s="4" t="s">
        <x:v>496</x:v>
      </x:c>
      <x:c r="C55" s="4" t="s">
        <x:v>497</x:v>
      </x:c>
      <x:c r="D55" s="4" t="s">
        <x:v>682</x:v>
      </x:c>
      <x:c r="E55" s="4" t="s">
        <x:v>49</x:v>
      </x:c>
      <x:c r="F55" s="4">
        <x:v>5.0</x:v>
      </x:c>
      <x:c r="G55" s="4">
        <x:v>5.0</x:v>
      </x:c>
      <x:c r="H55" s="4">
        <x:v>0.0</x:v>
      </x:c>
      <x:c r="I55" s="4">
        <x:v>4.0</x:v>
      </x:c>
      <x:c r="J55" s="4">
        <x:v>4.0</x:v>
      </x:c>
      <x:c r="K55" s="4">
        <x:v>0.0</x:v>
      </x:c>
      <x:c r="L55" s="4">
        <x:v>10.0</x:v>
      </x:c>
      <x:c r="M55" s="4">
        <x:v>10.0</x:v>
      </x:c>
    </x:row>
    <x:row r="56" ht="15.75" customHeight="1">
      <x:c r="A56" s="4">
        <x:v>6628.0</x:v>
      </x:c>
      <x:c r="B56" s="4" t="s">
        <x:v>496</x:v>
      </x:c>
      <x:c r="C56" s="4" t="s">
        <x:v>497</x:v>
      </x:c>
      <x:c r="D56" s="4" t="s">
        <x:v>683</x:v>
      </x:c>
      <x:c r="E56" s="4" t="s">
        <x:v>19</x:v>
      </x:c>
      <x:c r="F56" s="4">
        <x:v>4.0</x:v>
      </x:c>
      <x:c r="G56" s="4">
        <x:v>4.0</x:v>
      </x:c>
      <x:c r="H56" s="4">
        <x:v>0.0</x:v>
      </x:c>
      <x:c r="I56" s="4">
        <x:v>3.0</x:v>
      </x:c>
      <x:c r="J56" s="4">
        <x:v>3.0</x:v>
      </x:c>
      <x:c r="K56" s="4">
        <x:v>0.0</x:v>
      </x:c>
      <x:c r="L56" s="4">
        <x:v>5.0</x:v>
      </x:c>
      <x:c r="M56" s="4">
        <x:v>4.0</x:v>
      </x:c>
    </x:row>
    <x:row r="57" ht="15.75" customHeight="1">
      <x:c r="A57" s="4">
        <x:v>6227.0</x:v>
      </x:c>
      <x:c r="B57" s="4" t="s">
        <x:v>496</x:v>
      </x:c>
      <x:c r="C57" s="4" t="s">
        <x:v>496</x:v>
      </x:c>
      <x:c r="D57" s="4" t="s">
        <x:v>684</x:v>
      </x:c>
      <x:c r="E57" s="4" t="s">
        <x:v>21</x:v>
      </x:c>
      <x:c r="F57" s="4">
        <x:v>4.0</x:v>
      </x:c>
      <x:c r="G57" s="4">
        <x:v>4.0</x:v>
      </x:c>
      <x:c r="H57" s="4">
        <x:v>0.0</x:v>
      </x:c>
      <x:c r="I57" s="4">
        <x:v>4.0</x:v>
      </x:c>
      <x:c r="J57" s="4">
        <x:v>4.0</x:v>
      </x:c>
      <x:c r="K57" s="4">
        <x:v>0.0</x:v>
      </x:c>
      <x:c r="L57" s="4">
        <x:v>5.0</x:v>
      </x:c>
      <x:c r="M57" s="4">
        <x:v>5.0</x:v>
      </x:c>
    </x:row>
    <x:row r="58" ht="15.75" customHeight="1">
      <x:c r="A58" s="4">
        <x:v>7153.0</x:v>
      </x:c>
      <x:c r="B58" s="4" t="s">
        <x:v>496</x:v>
      </x:c>
      <x:c r="C58" s="4" t="s">
        <x:v>497</x:v>
      </x:c>
      <x:c r="D58" s="4" t="s">
        <x:v>685</x:v>
      </x:c>
      <x:c r="E58" s="4" t="s">
        <x:v>55</x:v>
      </x:c>
      <x:c r="F58" s="4">
        <x:v>4.0</x:v>
      </x:c>
      <x:c r="G58" s="4">
        <x:v>4.0</x:v>
      </x:c>
      <x:c r="H58" s="4">
        <x:v>0.0</x:v>
      </x:c>
      <x:c r="I58" s="4">
        <x:v>4.0</x:v>
      </x:c>
      <x:c r="J58" s="4">
        <x:v>4.0</x:v>
      </x:c>
      <x:c r="K58" s="4">
        <x:v>0.0</x:v>
      </x:c>
      <x:c r="L58" s="4">
        <x:v>7.0</x:v>
      </x:c>
      <x:c r="M58" s="4">
        <x:v>7.0</x:v>
      </x:c>
    </x:row>
    <x:row r="59" ht="15.75" customHeight="1">
      <x:c r="A59" s="4">
        <x:v>6459.0</x:v>
      </x:c>
      <x:c r="B59" s="4" t="s">
        <x:v>496</x:v>
      </x:c>
      <x:c r="C59" s="4" t="s">
        <x:v>302</x:v>
      </x:c>
      <x:c r="D59" s="4" t="s">
        <x:v>686</x:v>
      </x:c>
      <x:c r="E59" s="4" t="s">
        <x:v>33</x:v>
      </x:c>
      <x:c r="F59" s="4">
        <x:v>3.0</x:v>
      </x:c>
      <x:c r="G59" s="4">
        <x:v>3.0</x:v>
      </x:c>
      <x:c r="H59" s="4">
        <x:v>0.0</x:v>
      </x:c>
      <x:c r="I59" s="4">
        <x:v>3.0</x:v>
      </x:c>
      <x:c r="J59" s="4">
        <x:v>3.0</x:v>
      </x:c>
      <x:c r="K59" s="4">
        <x:v>0.0</x:v>
      </x:c>
      <x:c r="L59" s="4">
        <x:v>7.0</x:v>
      </x:c>
      <x:c r="M59" s="4">
        <x:v>7.0</x:v>
      </x:c>
    </x:row>
    <x:row r="60" ht="15.75" customHeight="1">
      <x:c r="A60" s="4">
        <x:v>6213.0</x:v>
      </x:c>
      <x:c r="B60" s="4" t="s">
        <x:v>496</x:v>
      </x:c>
      <x:c r="C60" s="4" t="s">
        <x:v>496</x:v>
      </x:c>
      <x:c r="D60" s="4" t="s">
        <x:v>687</x:v>
      </x:c>
      <x:c r="E60" s="4" t="s">
        <x:v>51</x:v>
      </x:c>
      <x:c r="F60" s="4">
        <x:v>3.0</x:v>
      </x:c>
      <x:c r="G60" s="4">
        <x:v>3.0</x:v>
      </x:c>
      <x:c r="H60" s="4">
        <x:v>0.0</x:v>
      </x:c>
      <x:c r="I60" s="4">
        <x:v>3.0</x:v>
      </x:c>
      <x:c r="J60" s="4">
        <x:v>3.0</x:v>
      </x:c>
      <x:c r="K60" s="4">
        <x:v>0.0</x:v>
      </x:c>
      <x:c r="L60" s="4">
        <x:v>10.0</x:v>
      </x:c>
      <x:c r="M60" s="4">
        <x:v>10.0</x:v>
      </x:c>
    </x:row>
    <x:row r="61" ht="15.75" customHeight="1">
      <x:c r="A61" s="4">
        <x:v>6644.0</x:v>
      </x:c>
      <x:c r="B61" s="4" t="s">
        <x:v>496</x:v>
      </x:c>
      <x:c r="C61" s="4" t="s">
        <x:v>497</x:v>
      </x:c>
      <x:c r="D61" s="4" t="s">
        <x:v>688</x:v>
      </x:c>
      <x:c r="E61" s="4" t="s">
        <x:v>57</x:v>
      </x:c>
      <x:c r="F61" s="4">
        <x:v>3.0</x:v>
      </x:c>
      <x:c r="G61" s="4">
        <x:v>3.0</x:v>
      </x:c>
      <x:c r="H61" s="4">
        <x:v>0.0</x:v>
      </x:c>
      <x:c r="I61" s="4">
        <x:v>2.0</x:v>
      </x:c>
      <x:c r="J61" s="4">
        <x:v>2.0</x:v>
      </x:c>
      <x:c r="K61" s="4">
        <x:v>0.0</x:v>
      </x:c>
      <x:c r="L61" s="4">
        <x:v>8.0</x:v>
      </x:c>
      <x:c r="M61" s="4">
        <x:v>6.0</x:v>
      </x:c>
    </x:row>
    <x:row r="62" ht="15.75" customHeight="1">
      <x:c r="A62" s="4">
        <x:v>5845.0</x:v>
      </x:c>
      <x:c r="B62" s="4" t="s">
        <x:v>496</x:v>
      </x:c>
      <x:c r="C62" s="4" t="s">
        <x:v>497</x:v>
      </x:c>
      <x:c r="D62" s="4" t="s">
        <x:v>689</x:v>
      </x:c>
      <x:c r="E62" s="4" t="s">
        <x:v>49</x:v>
      </x:c>
      <x:c r="F62" s="4">
        <x:v>2.0</x:v>
      </x:c>
      <x:c r="G62" s="4">
        <x:v>2.0</x:v>
      </x:c>
      <x:c r="H62" s="4">
        <x:v>0.0</x:v>
      </x:c>
      <x:c r="I62" s="4">
        <x:v>1.0</x:v>
      </x:c>
      <x:c r="J62" s="4">
        <x:v>1.0</x:v>
      </x:c>
      <x:c r="K62" s="4">
        <x:v>0.0</x:v>
      </x:c>
      <x:c r="L62" s="4">
        <x:v>4.0</x:v>
      </x:c>
      <x:c r="M62" s="4">
        <x:v>3.0</x:v>
      </x:c>
    </x:row>
    <x:row r="63" ht="15.75" customHeight="1">
      <x:c r="A63" s="4">
        <x:v>7027.0</x:v>
      </x:c>
      <x:c r="B63" s="4" t="s">
        <x:v>496</x:v>
      </x:c>
      <x:c r="C63" s="4" t="s">
        <x:v>497</x:v>
      </x:c>
      <x:c r="D63" s="4" t="s">
        <x:v>690</x:v>
      </x:c>
      <x:c r="E63" s="4" t="s">
        <x:v>35</x:v>
      </x:c>
      <x:c r="F63" s="4">
        <x:v>1.0</x:v>
      </x:c>
      <x:c r="G63" s="4">
        <x:v>1.0</x:v>
      </x:c>
      <x:c r="H63" s="4">
        <x:v>0.0</x:v>
      </x:c>
      <x:c r="I63" s="4">
        <x:v>1.0</x:v>
      </x:c>
      <x:c r="J63" s="4">
        <x:v>1.0</x:v>
      </x:c>
      <x:c r="K63" s="4">
        <x:v>0.0</x:v>
      </x:c>
      <x:c r="L63" s="4">
        <x:v>5.0</x:v>
      </x:c>
      <x:c r="M63" s="4">
        <x:v>3.0</x:v>
      </x:c>
    </x:row>
    <x:row r="64" ht="15.75" customHeight="1">
      <x:c r="A64" s="4">
        <x:v>6657.0</x:v>
      </x:c>
      <x:c r="B64" s="4" t="s">
        <x:v>496</x:v>
      </x:c>
      <x:c r="C64" s="4" t="s">
        <x:v>497</x:v>
      </x:c>
      <x:c r="D64" s="4" t="s">
        <x:v>691</x:v>
      </x:c>
      <x:c r="E64" s="4" t="s">
        <x:v>35</x:v>
      </x:c>
      <x:c r="F64" s="4">
        <x:v>1.0</x:v>
      </x:c>
      <x:c r="G64" s="4">
        <x:v>1.0</x:v>
      </x:c>
      <x:c r="H64" s="4">
        <x:v>0.0</x:v>
      </x:c>
      <x:c r="I64" s="4">
        <x:v>1.0</x:v>
      </x:c>
      <x:c r="J64" s="4">
        <x:v>1.0</x:v>
      </x:c>
      <x:c r="K64" s="4">
        <x:v>0.0</x:v>
      </x:c>
      <x:c r="L64" s="4">
        <x:v>1.0</x:v>
      </x:c>
      <x:c r="M64" s="4">
        <x:v>1.0</x:v>
      </x:c>
    </x:row>
    <x:row r="65" ht="15.75" customHeight="1">
      <x:c r="A65" s="4">
        <x:v>7134.0</x:v>
      </x:c>
      <x:c r="B65" s="4" t="s">
        <x:v>496</x:v>
      </x:c>
      <x:c r="C65" s="4" t="s">
        <x:v>497</x:v>
      </x:c>
      <x:c r="D65" s="4" t="s">
        <x:v>692</x:v>
      </x:c>
      <x:c r="E65" s="4" t="s">
        <x:v>47</x:v>
      </x:c>
      <x:c r="F65" s="4">
        <x:v>1.0</x:v>
      </x:c>
      <x:c r="G65" s="4">
        <x:v>1.0</x:v>
      </x:c>
      <x:c r="H65" s="4">
        <x:v>0.0</x:v>
      </x:c>
      <x:c r="I65" s="4">
        <x:v>1.0</x:v>
      </x:c>
      <x:c r="J65" s="4">
        <x:v>1.0</x:v>
      </x:c>
      <x:c r="K65" s="4">
        <x:v>0.0</x:v>
      </x:c>
      <x:c r="L65" s="4">
        <x:v>3.0</x:v>
      </x:c>
      <x:c r="M65" s="4">
        <x:v>2.0</x:v>
      </x:c>
    </x:row>
    <x:row r="66" ht="15.75" customHeight="1">
      <x:c r="A66" s="4">
        <x:v>7152.0</x:v>
      </x:c>
      <x:c r="B66" s="4" t="s">
        <x:v>496</x:v>
      </x:c>
      <x:c r="C66" s="4" t="s">
        <x:v>497</x:v>
      </x:c>
      <x:c r="D66" s="4" t="s">
        <x:v>693</x:v>
      </x:c>
      <x:c r="E66" s="4" t="s">
        <x:v>55</x:v>
      </x:c>
      <x:c r="F66" s="4">
        <x:v>1.0</x:v>
      </x:c>
      <x:c r="G66" s="4">
        <x:v>1.0</x:v>
      </x:c>
      <x:c r="H66" s="4">
        <x:v>0.0</x:v>
      </x:c>
      <x:c r="I66" s="4">
        <x:v>1.0</x:v>
      </x:c>
      <x:c r="J66" s="4">
        <x:v>1.0</x:v>
      </x:c>
      <x:c r="K66" s="4">
        <x:v>0.0</x:v>
      </x:c>
      <x:c r="L66" s="4">
        <x:v>2.0</x:v>
      </x:c>
      <x:c r="M66" s="4">
        <x:v>2.0</x:v>
      </x:c>
    </x:row>
    <x:row r="67" ht="15.75" customHeight="1">
      <x:c r="A67" s="4">
        <x:v>6635.0</x:v>
      </x:c>
      <x:c r="B67" s="4" t="s">
        <x:v>496</x:v>
      </x:c>
      <x:c r="C67" s="4" t="s">
        <x:v>497</x:v>
      </x:c>
      <x:c r="D67" s="4" t="s">
        <x:v>694</x:v>
      </x:c>
      <x:c r="E67" s="4" t="s">
        <x:v>51</x:v>
      </x:c>
      <x:c r="F67" s="4">
        <x:v>1.0</x:v>
      </x:c>
      <x:c r="G67" s="4">
        <x:v>1.0</x:v>
      </x:c>
      <x:c r="H67" s="4">
        <x:v>0.0</x:v>
      </x:c>
      <x:c r="I67" s="4">
        <x:v>1.0</x:v>
      </x:c>
      <x:c r="J67" s="4">
        <x:v>1.0</x:v>
      </x:c>
      <x:c r="K67" s="4">
        <x:v>0.0</x:v>
      </x:c>
      <x:c r="L67" s="4">
        <x:v>3.0</x:v>
      </x:c>
      <x:c r="M67" s="4">
        <x:v>2.0</x:v>
      </x:c>
    </x:row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72.12999725341797" hidden="0" customWidth="1"/>
    <x:col min="4" max="4" width="9.880000114440918" hidden="0" customWidth="1"/>
    <x:col min="5" max="5" width="10.75" hidden="0" customWidth="1"/>
    <x:col min="6" max="6" width="12" hidden="0" customWidth="1"/>
    <x:col min="7" max="7" width="11.130000114440918" hidden="0" customWidth="1"/>
    <x:col min="8" max="8" width="5.130000114440918" hidden="0" customWidth="1"/>
    <x:col min="9" max="9" width="8.130000114440918" hidden="0" customWidth="1"/>
    <x:col min="10" max="10" width="11.880000114440918" hidden="0" customWidth="1"/>
    <x:col min="11" max="11" width="6.380000114440918" hidden="0" customWidth="1"/>
    <x:col min="12" max="12" width="13.75" hidden="0" customWidth="1"/>
  </x:cols>
  <x:sheetData>
    <x:row r="1">
      <x:c r="A1" s="47" t="str">
        <x:v>Analisi mercato della lega - Asta 2025/26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68"/>
      <x:c r="N1" s="68"/>
      <x:c r="O1" s="68"/>
      <x:c r="P1" s="68"/>
      <x:c r="Q1" s="68"/>
      <x:c r="R1" s="68"/>
      <x:c r="S1" s="68"/>
      <x:c r="T1" s="68"/>
      <x:c r="U1" s="68"/>
      <x:c r="V1" s="68" t="str">
        <x:v>Ruolo</x:v>
      </x:c>
      <x:c r="W1" s="68" t="str">
        <x:v>Spesa</x:v>
      </x:c>
      <x:c r="X1" s="68"/>
      <x:c r="Y1" s="68"/>
      <x:c r="Z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 t="str">
        <x:v>Portieri</x:v>
      </x:c>
      <x:c r="W2" s="68" t="n">
        <x:v>387</x:v>
      </x:c>
      <x:c r="X2" s="68"/>
      <x:c r="Y2" s="68"/>
      <x:c r="Z2" s="68"/>
    </x:row>
    <x:row r="3">
      <x:c r="A3" s="69" t="str">
        <x:v>Transazioni complete</x:v>
      </x:c>
      <x:c r="B3" s="70" t="n">
        <x:v>200</x:v>
      </x:c>
      <x:c r="C3" s="68"/>
      <x:c r="D3" s="69" t="str">
        <x:v>Spesa totale</x:v>
      </x:c>
      <x:c r="E3" s="70" t="n">
        <x:v>3899</x:v>
      </x:c>
      <x:c r="F3" s="68"/>
      <x:c r="G3" s="69" t="str">
        <x:v>Crediti residui</x:v>
      </x:c>
      <x:c r="H3" s="70" t="n">
        <x:v>101</x:v>
      </x:c>
      <x:c r="I3" s="68"/>
      <x:c r="J3" s="69" t="str">
        <x:v>Copertura rose</x:v>
      </x:c>
      <x:c r="K3" s="70" t="str">
        <x:v>8 × 25</x:v>
      </x:c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 t="str">
        <x:v>Difensori</x:v>
      </x:c>
      <x:c r="W3" s="68" t="n">
        <x:v>679</x:v>
      </x:c>
      <x:c r="X3" s="68"/>
      <x:c r="Y3" s="68"/>
      <x:c r="Z3" s="68"/>
    </x:row>
    <x:row r="4">
      <x:c r="A4" s="68"/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 t="str">
        <x:v>Centrocampisti</x:v>
      </x:c>
      <x:c r="W4" s="68" t="n">
        <x:v>1033</x:v>
      </x:c>
      <x:c r="X4" s="68"/>
      <x:c r="Y4" s="68"/>
      <x:c r="Z4" s="68"/>
    </x:row>
    <x:row r="5">
      <x:c r="A5" s="71" t="str">
        <x:v>Distribuzione del mercato per ruolo</x:v>
      </x:c>
      <x:c r="B5" s="71"/>
      <x:c r="C5" s="71"/>
      <x:c r="D5" s="71"/>
      <x:c r="E5" s="71"/>
      <x:c r="F5" s="71"/>
      <x:c r="G5" s="71"/>
      <x:c r="H5" s="71"/>
      <x:c r="I5" s="71"/>
      <x:c r="J5" s="71"/>
      <x:c r="K5" s="71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 t="str">
        <x:v>Attaccanti</x:v>
      </x:c>
      <x:c r="W5" s="68" t="n">
        <x:v>1800</x:v>
      </x:c>
      <x:c r="X5" s="68"/>
      <x:c r="Y5" s="68"/>
      <x:c r="Z5" s="68"/>
    </x:row>
    <x:row r="6">
      <x:c r="A6" s="51" t="str">
        <x:v>Ruolo</x:v>
      </x:c>
      <x:c r="B6" s="51" t="str">
        <x:v>Giocatori</x:v>
      </x:c>
      <x:c r="C6" s="51" t="str">
        <x:v>Spesa</x:v>
      </x:c>
      <x:c r="D6" s="51" t="str">
        <x:v>% spesa</x:v>
      </x:c>
      <x:c r="E6" s="51" t="str">
        <x:v>Prezzo medio</x:v>
      </x:c>
      <x:c r="F6" s="51" t="str">
        <x:v>Mediana</x:v>
      </x:c>
      <x:c r="G6" s="51" t="str">
        <x:v>P25</x:v>
      </x:c>
      <x:c r="H6" s="51" t="str">
        <x:v>P75</x:v>
      </x:c>
      <x:c r="I6" s="51" t="str">
        <x:v>Corr. FVM</x:v>
      </x:c>
      <x:c r="J6" s="51" t="str">
        <x:v>MAE modello</x:v>
      </x:c>
      <x:c r="K6" s="51" t="str">
        <x:v>RMSE</x:v>
      </x:c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68" t="str">
        <x:v>Portieri</x:v>
      </x:c>
      <x:c r="B7" s="68" t="n">
        <x:v>24</x:v>
      </x:c>
      <x:c r="C7" s="68" t="n">
        <x:v>387</x:v>
      </x:c>
      <x:c r="D7" s="72" t="n">
        <x:v>0.09925621954347269</x:v>
      </x:c>
      <x:c r="E7" s="73" t="n">
        <x:v>16.125</x:v>
      </x:c>
      <x:c r="F7" s="73" t="n">
        <x:v>6</x:v>
      </x:c>
      <x:c r="G7" s="73" t="n">
        <x:v>2</x:v>
      </x:c>
      <x:c r="H7" s="73" t="n">
        <x:v>32</x:v>
      </x:c>
      <x:c r="I7" s="73" t="n">
        <x:v>0.9555081165158168</x:v>
      </x:c>
      <x:c r="J7" s="73" t="n">
        <x:v>3.398167933306667</x:v>
      </x:c>
      <x:c r="K7" s="73" t="n">
        <x:v>4.899074919618362</x:v>
      </x:c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68" t="str">
        <x:v>Difensori</x:v>
      </x:c>
      <x:c r="B8" s="68" t="n">
        <x:v>64</x:v>
      </x:c>
      <x:c r="C8" s="68" t="n">
        <x:v>679</x:v>
      </x:c>
      <x:c r="D8" s="72" t="n">
        <x:v>0.1741472172351885</x:v>
      </x:c>
      <x:c r="E8" s="73" t="n">
        <x:v>10.609375</x:v>
      </x:c>
      <x:c r="F8" s="73" t="n">
        <x:v>6</x:v>
      </x:c>
      <x:c r="G8" s="73" t="n">
        <x:v>2</x:v>
      </x:c>
      <x:c r="H8" s="73" t="n">
        <x:v>17</x:v>
      </x:c>
      <x:c r="I8" s="73" t="n">
        <x:v>0.9246647991268611</x:v>
      </x:c>
      <x:c r="J8" s="73" t="n">
        <x:v>3.2968358484381466</x:v>
      </x:c>
      <x:c r="K8" s="73" t="n">
        <x:v>4.13011313383809</x:v>
      </x:c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68" t="str">
        <x:v>Centrocampisti</x:v>
      </x:c>
      <x:c r="B9" s="68" t="n">
        <x:v>64</x:v>
      </x:c>
      <x:c r="C9" s="68" t="n">
        <x:v>1033</x:v>
      </x:c>
      <x:c r="D9" s="72" t="n">
        <x:v>0.26493972813541933</x:v>
      </x:c>
      <x:c r="E9" s="73" t="n">
        <x:v>16.140625</x:v>
      </x:c>
      <x:c r="F9" s="73" t="n">
        <x:v>9</x:v>
      </x:c>
      <x:c r="G9" s="73" t="n">
        <x:v>2</x:v>
      </x:c>
      <x:c r="H9" s="73" t="n">
        <x:v>20</x:v>
      </x:c>
      <x:c r="I9" s="73" t="n">
        <x:v>0.91256369954822</x:v>
      </x:c>
      <x:c r="J9" s="73" t="n">
        <x:v>6.121794503862301</x:v>
      </x:c>
      <x:c r="K9" s="73" t="n">
        <x:v>8.058277254356415</x:v>
      </x:c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68" t="str">
        <x:v>Attaccanti</x:v>
      </x:c>
      <x:c r="B10" s="68" t="n">
        <x:v>48</x:v>
      </x:c>
      <x:c r="C10" s="68" t="n">
        <x:v>1800</x:v>
      </x:c>
      <x:c r="D10" s="72" t="n">
        <x:v>0.4616568350859195</x:v>
      </x:c>
      <x:c r="E10" s="73" t="n">
        <x:v>37.5</x:v>
      </x:c>
      <x:c r="F10" s="73" t="n">
        <x:v>19.5</x:v>
      </x:c>
      <x:c r="G10" s="73" t="n">
        <x:v>5</x:v>
      </x:c>
      <x:c r="H10" s="73" t="n">
        <x:v>61</x:v>
      </x:c>
      <x:c r="I10" s="73" t="n">
        <x:v>0.9270127774914336</x:v>
      </x:c>
      <x:c r="J10" s="73" t="n">
        <x:v>10.990238919188007</x:v>
      </x:c>
      <x:c r="K10" s="73" t="n">
        <x:v>14.295062831444678</x:v>
      </x:c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68"/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71" t="str">
        <x:v>Profili di spesa dei partecipanti</x:v>
      </x:c>
      <x:c r="B12" s="71"/>
      <x:c r="C12" s="71"/>
      <x:c r="D12" s="71"/>
      <x:c r="E12" s="71"/>
      <x:c r="F12" s="71"/>
      <x:c r="G12" s="71"/>
      <x:c r="H12" s="71"/>
      <x:c r="I12" s="71"/>
      <x:c r="J12" s="71"/>
      <x:c r="K12" s="71"/>
      <x:c r="L12" s="71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51" t="str">
        <x:v>Partecipante</x:v>
      </x:c>
      <x:c r="B13" s="51" t="str">
        <x:v>Spesa</x:v>
      </x:c>
      <x:c r="C13" s="51" t="str">
        <x:v>Residuo</x:v>
      </x:c>
      <x:c r="D13" s="51" t="str">
        <x:v>Portieri</x:v>
      </x:c>
      <x:c r="E13" s="51" t="str">
        <x:v>Difensori</x:v>
      </x:c>
      <x:c r="F13" s="51" t="str">
        <x:v>Centrocampisti</x:v>
      </x:c>
      <x:c r="G13" s="51" t="str">
        <x:v>Attaccanti</x:v>
      </x:c>
      <x:c r="H13" s="51" t="str">
        <x:v>% P</x:v>
      </x:c>
      <x:c r="I13" s="51" t="str">
        <x:v>% D</x:v>
      </x:c>
      <x:c r="J13" s="51" t="str">
        <x:v>% C</x:v>
      </x:c>
      <x:c r="K13" s="51" t="str">
        <x:v>% A</x:v>
      </x:c>
      <x:c r="L13" s="51" t="str">
        <x:v>Δ quotazioni rosa</x:v>
      </x:c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68" t="str">
        <x:v>IO</x:v>
      </x:c>
      <x:c r="B14" s="68" t="n">
        <x:v>472</x:v>
      </x:c>
      <x:c r="C14" s="68" t="n">
        <x:v>28</x:v>
      </x:c>
      <x:c r="D14" s="68" t="n">
        <x:v>64</x:v>
      </x:c>
      <x:c r="E14" s="68" t="n">
        <x:v>125</x:v>
      </x:c>
      <x:c r="F14" s="68" t="n">
        <x:v>87</x:v>
      </x:c>
      <x:c r="G14" s="68" t="n">
        <x:v>196</x:v>
      </x:c>
      <x:c r="H14" s="72" t="n">
        <x:v>0.13559322033898305</x:v>
      </x:c>
      <x:c r="I14" s="72" t="n">
        <x:v>0.2648305084745763</x:v>
      </x:c>
      <x:c r="J14" s="72" t="n">
        <x:v>0.1843220338983051</x:v>
      </x:c>
      <x:c r="K14" s="72" t="n">
        <x:v>0.4152542372881356</x:v>
      </x:c>
      <x:c r="L14" s="68" t="n">
        <x:v>2</x:v>
      </x:c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68" t="str">
        <x:v>Simo Q</x:v>
      </x:c>
      <x:c r="B15" s="68" t="n">
        <x:v>471</x:v>
      </x:c>
      <x:c r="C15" s="68" t="n">
        <x:v>29</x:v>
      </x:c>
      <x:c r="D15" s="68" t="n">
        <x:v>59</x:v>
      </x:c>
      <x:c r="E15" s="68" t="n">
        <x:v>71</x:v>
      </x:c>
      <x:c r="F15" s="68" t="n">
        <x:v>137</x:v>
      </x:c>
      <x:c r="G15" s="68" t="n">
        <x:v>204</x:v>
      </x:c>
      <x:c r="H15" s="72" t="n">
        <x:v>0.12526539278131635</x:v>
      </x:c>
      <x:c r="I15" s="72" t="n">
        <x:v>0.15074309978768577</x:v>
      </x:c>
      <x:c r="J15" s="72" t="n">
        <x:v>0.2908704883227176</x:v>
      </x:c>
      <x:c r="K15" s="72" t="n">
        <x:v>0.43312101910828027</x:v>
      </x:c>
      <x:c r="L15" s="68" t="n">
        <x:v>-3</x:v>
      </x:c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68" t="str">
        <x:v>Andre</x:v>
      </x:c>
      <x:c r="B16" s="68" t="n">
        <x:v>498</x:v>
      </x:c>
      <x:c r="C16" s="68" t="n">
        <x:v>2</x:v>
      </x:c>
      <x:c r="D16" s="68" t="n">
        <x:v>54</x:v>
      </x:c>
      <x:c r="E16" s="68" t="n">
        <x:v>83</x:v>
      </x:c>
      <x:c r="F16" s="68" t="n">
        <x:v>134</x:v>
      </x:c>
      <x:c r="G16" s="68" t="n">
        <x:v>227</x:v>
      </x:c>
      <x:c r="H16" s="72" t="n">
        <x:v>0.10843373493975904</x:v>
      </x:c>
      <x:c r="I16" s="72" t="n">
        <x:v>0.16666666666666666</x:v>
      </x:c>
      <x:c r="J16" s="72" t="n">
        <x:v>0.26907630522088355</x:v>
      </x:c>
      <x:c r="K16" s="72" t="n">
        <x:v>0.45582329317269077</x:v>
      </x:c>
      <x:c r="L16" s="68" t="n">
        <x:v>8</x:v>
      </x:c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68" t="str">
        <x:v>Cri</x:v>
      </x:c>
      <x:c r="B17" s="68" t="n">
        <x:v>466</x:v>
      </x:c>
      <x:c r="C17" s="68" t="n">
        <x:v>34</x:v>
      </x:c>
      <x:c r="D17" s="68" t="n">
        <x:v>66</x:v>
      </x:c>
      <x:c r="E17" s="68" t="n">
        <x:v>110</x:v>
      </x:c>
      <x:c r="F17" s="68" t="n">
        <x:v>98</x:v>
      </x:c>
      <x:c r="G17" s="68" t="n">
        <x:v>192</x:v>
      </x:c>
      <x:c r="H17" s="72" t="n">
        <x:v>0.14163090128755365</x:v>
      </x:c>
      <x:c r="I17" s="72" t="n">
        <x:v>0.23605150214592274</x:v>
      </x:c>
      <x:c r="J17" s="72" t="n">
        <x:v>0.21030042918454936</x:v>
      </x:c>
      <x:c r="K17" s="72" t="n">
        <x:v>0.41201716738197425</x:v>
      </x:c>
      <x:c r="L17" s="68" t="n">
        <x:v>5</x:v>
      </x:c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68" t="str">
        <x:v>Marco</x:v>
      </x:c>
      <x:c r="B18" s="68" t="n">
        <x:v>499</x:v>
      </x:c>
      <x:c r="C18" s="68" t="n">
        <x:v>1</x:v>
      </x:c>
      <x:c r="D18" s="68" t="n">
        <x:v>36</x:v>
      </x:c>
      <x:c r="E18" s="68" t="n">
        <x:v>63</x:v>
      </x:c>
      <x:c r="F18" s="68" t="n">
        <x:v>170</x:v>
      </x:c>
      <x:c r="G18" s="68" t="n">
        <x:v>230</x:v>
      </x:c>
      <x:c r="H18" s="72" t="n">
        <x:v>0.07214428857715431</x:v>
      </x:c>
      <x:c r="I18" s="72" t="n">
        <x:v>0.12625250501002003</x:v>
      </x:c>
      <x:c r="J18" s="72" t="n">
        <x:v>0.3406813627254509</x:v>
      </x:c>
      <x:c r="K18" s="72" t="n">
        <x:v>0.46092184368737477</x:v>
      </x:c>
      <x:c r="L18" s="68" t="n">
        <x:v>3</x:v>
      </x:c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68" t="str">
        <x:v>Alessio</x:v>
      </x:c>
      <x:c r="B19" s="68" t="n">
        <x:v>500</x:v>
      </x:c>
      <x:c r="C19" s="68" t="n">
        <x:v>0</x:v>
      </x:c>
      <x:c r="D19" s="68" t="n">
        <x:v>45</x:v>
      </x:c>
      <x:c r="E19" s="68" t="n">
        <x:v>62</x:v>
      </x:c>
      <x:c r="F19" s="68" t="n">
        <x:v>148</x:v>
      </x:c>
      <x:c r="G19" s="68" t="n">
        <x:v>245</x:v>
      </x:c>
      <x:c r="H19" s="72" t="n">
        <x:v>0.09</x:v>
      </x:c>
      <x:c r="I19" s="72" t="n">
        <x:v>0.124</x:v>
      </x:c>
      <x:c r="J19" s="72" t="n">
        <x:v>0.296</x:v>
      </x:c>
      <x:c r="K19" s="72" t="n">
        <x:v>0.49</x:v>
      </x:c>
      <x:c r="L19" s="68" t="n">
        <x:v>2</x:v>
      </x:c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68" t="str">
        <x:v>Carlo</x:v>
      </x:c>
      <x:c r="B20" s="68" t="n">
        <x:v>493</x:v>
      </x:c>
      <x:c r="C20" s="68" t="n">
        <x:v>7</x:v>
      </x:c>
      <x:c r="D20" s="68" t="n">
        <x:v>45</x:v>
      </x:c>
      <x:c r="E20" s="68" t="n">
        <x:v>83</x:v>
      </x:c>
      <x:c r="F20" s="68" t="n">
        <x:v>109</x:v>
      </x:c>
      <x:c r="G20" s="68" t="n">
        <x:v>256</x:v>
      </x:c>
      <x:c r="H20" s="72" t="n">
        <x:v>0.09127789046653144</x:v>
      </x:c>
      <x:c r="I20" s="72" t="n">
        <x:v>0.16835699797160245</x:v>
      </x:c>
      <x:c r="J20" s="72" t="n">
        <x:v>0.2210953346855984</x:v>
      </x:c>
      <x:c r="K20" s="72" t="n">
        <x:v>0.5192697768762677</x:v>
      </x:c>
      <x:c r="L20" s="68" t="n">
        <x:v>9</x:v>
      </x:c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>
      <x:c r="A21" s="68" t="str">
        <x:v>Nicola</x:v>
      </x:c>
      <x:c r="B21" s="68" t="n">
        <x:v>500</x:v>
      </x:c>
      <x:c r="C21" s="68" t="n">
        <x:v>0</x:v>
      </x:c>
      <x:c r="D21" s="68" t="n">
        <x:v>18</x:v>
      </x:c>
      <x:c r="E21" s="68" t="n">
        <x:v>82</x:v>
      </x:c>
      <x:c r="F21" s="68" t="n">
        <x:v>150</x:v>
      </x:c>
      <x:c r="G21" s="68" t="n">
        <x:v>250</x:v>
      </x:c>
      <x:c r="H21" s="72" t="n">
        <x:v>0.036</x:v>
      </x:c>
      <x:c r="I21" s="72" t="n">
        <x:v>0.164</x:v>
      </x:c>
      <x:c r="J21" s="72" t="n">
        <x:v>0.3</x:v>
      </x:c>
      <x:c r="K21" s="72" t="n">
        <x:v>0.5</x:v>
      </x:c>
      <x:c r="L21" s="68" t="n">
        <x:v>0</x:v>
      </x:c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>
      <x:c r="A22" s="68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>
      <x:c r="A23" s="71" t="str">
        <x:v>Indicazioni operative per l'algoritmo</x:v>
      </x:c>
      <x:c r="B23" s="71"/>
      <x:c r="C23" s="71"/>
      <x:c r="D23" s="71"/>
      <x:c r="E23" s="71"/>
      <x:c r="F23" s="71"/>
      <x:c r="G23" s="71"/>
      <x:c r="H23" s="71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 ht="34" customHeight="1">
      <x:c r="A24" s="74" t="str">
        <x:v>1</x:v>
      </x:c>
      <x:c r="B24" s="74" t="str">
        <x:v>FVM come base</x:v>
      </x:c>
      <x:c r="C24" s="74" t="str">
        <x:v>La correlazione prezzo/FVM varia da 0,91 a 0,96: è il miglior punto di partenza disponibile.</x:v>
      </x:c>
      <x:c r="D24" s="74"/>
      <x:c r="E24" s="74"/>
      <x:c r="F24" s="74"/>
      <x:c r="G24" s="74"/>
      <x:c r="H24" s="74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 ht="34" customHeight="1">
      <x:c r="A25" s="74" t="str">
        <x:v>2</x:v>
      </x:c>
      <x:c r="B25" s="74" t="str">
        <x:v>Modello per ruolo</x:v>
      </x:c>
      <x:c r="C25" s="74" t="str">
        <x:v>Portieri e difensori seguono circa 0,50 × FVM; centrocampisti e attaccanti hanno curve differenti.</x:v>
      </x:c>
      <x:c r="D25" s="74"/>
      <x:c r="E25" s="74"/>
      <x:c r="F25" s="74"/>
      <x:c r="G25" s="74"/>
      <x:c r="H25" s="74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 ht="34" customHeight="1">
      <x:c r="A26" s="74" t="str">
        <x:v>3</x:v>
      </x:c>
      <x:c r="B26" s="74" t="str">
        <x:v>Fasce, non prezzo unico</x:v>
      </x:c>
      <x:c r="C26" s="74" t="str">
        <x:v>L'incertezza è contenuta nei portieri/difensori e molto più alta negli attaccanti.</x:v>
      </x:c>
      <x:c r="D26" s="74"/>
      <x:c r="E26" s="74"/>
      <x:c r="F26" s="74"/>
      <x:c r="G26" s="74"/>
      <x:c r="H26" s="74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34" customHeight="1">
      <x:c r="A27" s="74" t="str">
        <x:v>4</x:v>
      </x:c>
      <x:c r="B27" s="74" t="str">
        <x:v>Prime giornate</x:v>
      </x:c>
      <x:c r="C27" s="74" t="str">
        <x:v>Devono correggere il valore tecnico, non sovrascrivere il prezzo di mercato.</x:v>
      </x:c>
      <x:c r="D27" s="74"/>
      <x:c r="E27" s="74"/>
      <x:c r="F27" s="74"/>
      <x:c r="G27" s="74"/>
      <x:c r="H27" s="74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34" customHeight="1">
      <x:c r="A28" s="74" t="str">
        <x:v>5</x:v>
      </x:c>
      <x:c r="B28" s="74" t="str">
        <x:v>Live auction pressure</x:v>
      </x:c>
      <x:c r="C28" s="74" t="str">
        <x:v>Crediti e slot residui degli avversari devono aggiornare expectedPrice durante l'asta.</x:v>
      </x:c>
      <x:c r="D28" s="74"/>
      <x:c r="E28" s="74"/>
      <x:c r="F28" s="74"/>
      <x:c r="G28" s="74"/>
      <x:c r="H28" s="74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34" customHeight="1">
      <x:c r="A29" s="74" t="str">
        <x:v>6</x:v>
      </x:c>
      <x:c r="B29" s="74" t="str">
        <x:v>Chat come segnale debole</x:v>
      </x:c>
      <x:c r="C29" s="74" t="str">
        <x:v>Interesse e proposte possono modificare la domanda, con peso massimo del 10%.</x:v>
      </x:c>
      <x:c r="D29" s="74"/>
      <x:c r="E29" s="74"/>
      <x:c r="F29" s="74"/>
      <x:c r="G29" s="74"/>
      <x:c r="H29" s="74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  <x:row r="201">
      <x:c r="A201" s="68"/>
      <x:c r="B201" s="68"/>
      <x:c r="C201" s="68"/>
      <x:c r="D201" s="68"/>
      <x:c r="E201" s="68"/>
      <x:c r="F201" s="68"/>
      <x:c r="G201" s="68"/>
      <x:c r="H201" s="68"/>
      <x:c r="I201" s="68"/>
      <x:c r="J201" s="68"/>
      <x:c r="K201" s="68"/>
      <x:c r="L201" s="68"/>
      <x:c r="M201" s="68"/>
      <x:c r="N201" s="68"/>
      <x:c r="O201" s="68"/>
      <x:c r="P201" s="68"/>
      <x:c r="Q201" s="68"/>
      <x:c r="R201" s="68"/>
      <x:c r="S201" s="68"/>
      <x:c r="T201" s="68"/>
      <x:c r="U201" s="68"/>
      <x:c r="V201" s="68"/>
      <x:c r="W201" s="68"/>
      <x:c r="X201" s="68"/>
      <x:c r="Y201" s="68"/>
      <x:c r="Z201" s="68"/>
    </x:row>
    <x:row r="202">
      <x:c r="A202" s="68"/>
      <x:c r="B202" s="68"/>
      <x:c r="C202" s="68"/>
      <x:c r="D202" s="68"/>
      <x:c r="E202" s="68"/>
      <x:c r="F202" s="68"/>
      <x:c r="G202" s="68"/>
      <x:c r="H202" s="68"/>
      <x:c r="I202" s="68"/>
      <x:c r="J202" s="68"/>
      <x:c r="K202" s="68"/>
      <x:c r="L202" s="68"/>
      <x:c r="M202" s="68"/>
      <x:c r="N202" s="68"/>
      <x:c r="O202" s="68"/>
      <x:c r="P202" s="68"/>
      <x:c r="Q202" s="68"/>
      <x:c r="R202" s="68"/>
      <x:c r="S202" s="68"/>
      <x:c r="T202" s="68"/>
      <x:c r="U202" s="68"/>
      <x:c r="V202" s="68"/>
      <x:c r="W202" s="68"/>
      <x:c r="X202" s="68"/>
      <x:c r="Y202" s="68"/>
      <x:c r="Z202" s="68"/>
    </x:row>
    <x:row r="203">
      <x:c r="A203" s="68"/>
      <x:c r="B203" s="68"/>
      <x:c r="C203" s="68"/>
      <x:c r="D203" s="68"/>
      <x:c r="E203" s="68"/>
      <x:c r="F203" s="68"/>
      <x:c r="G203" s="68"/>
      <x:c r="H203" s="68"/>
      <x:c r="I203" s="68"/>
      <x:c r="J203" s="68"/>
      <x:c r="K203" s="68"/>
      <x:c r="L203" s="68"/>
      <x:c r="M203" s="68"/>
      <x:c r="N203" s="68"/>
      <x:c r="O203" s="68"/>
      <x:c r="P203" s="68"/>
      <x:c r="Q203" s="68"/>
      <x:c r="R203" s="68"/>
      <x:c r="S203" s="68"/>
      <x:c r="T203" s="68"/>
      <x:c r="U203" s="68"/>
      <x:c r="V203" s="68"/>
      <x:c r="W203" s="68"/>
      <x:c r="X203" s="68"/>
      <x:c r="Y203" s="68"/>
      <x:c r="Z203" s="68"/>
    </x:row>
    <x:row r="204">
      <x:c r="A204" s="68"/>
      <x:c r="B204" s="68"/>
      <x:c r="C204" s="68"/>
      <x:c r="D204" s="68"/>
      <x:c r="E204" s="68"/>
      <x:c r="F204" s="68"/>
      <x:c r="G204" s="68"/>
      <x:c r="H204" s="68"/>
      <x:c r="I204" s="68"/>
      <x:c r="J204" s="68"/>
      <x:c r="K204" s="68"/>
      <x:c r="L204" s="68"/>
      <x:c r="M204" s="68"/>
      <x:c r="N204" s="68"/>
      <x:c r="O204" s="68"/>
      <x:c r="P204" s="68"/>
      <x:c r="Q204" s="68"/>
      <x:c r="R204" s="68"/>
      <x:c r="S204" s="68"/>
      <x:c r="T204" s="68"/>
      <x:c r="U204" s="68"/>
      <x:c r="V204" s="68"/>
      <x:c r="W204" s="68"/>
      <x:c r="X204" s="68"/>
      <x:c r="Y204" s="68"/>
      <x:c r="Z204" s="68"/>
    </x:row>
    <x:row r="205">
      <x:c r="A205" s="68"/>
      <x:c r="B205" s="68"/>
      <x:c r="C205" s="68"/>
      <x:c r="D205" s="68"/>
      <x:c r="E205" s="68"/>
      <x:c r="F205" s="68"/>
      <x:c r="G205" s="68"/>
      <x:c r="H205" s="68"/>
      <x:c r="I205" s="68"/>
      <x:c r="J205" s="68"/>
      <x:c r="K205" s="68"/>
      <x:c r="L205" s="68"/>
      <x:c r="M205" s="68"/>
      <x:c r="N205" s="68"/>
      <x:c r="O205" s="68"/>
      <x:c r="P205" s="68"/>
      <x:c r="Q205" s="68"/>
      <x:c r="R205" s="68"/>
      <x:c r="S205" s="68"/>
      <x:c r="T205" s="68"/>
      <x:c r="U205" s="68"/>
      <x:c r="V205" s="68"/>
      <x:c r="W205" s="68"/>
      <x:c r="X205" s="68"/>
      <x:c r="Y205" s="68"/>
      <x:c r="Z205" s="68"/>
    </x:row>
    <x:row r="206">
      <x:c r="A206" s="68"/>
      <x:c r="B206" s="68"/>
      <x:c r="C206" s="68"/>
      <x:c r="D206" s="68"/>
      <x:c r="E206" s="68"/>
      <x:c r="F206" s="68"/>
      <x:c r="G206" s="68"/>
      <x:c r="H206" s="68"/>
      <x:c r="I206" s="68"/>
      <x:c r="J206" s="68"/>
      <x:c r="K206" s="68"/>
      <x:c r="L206" s="68"/>
      <x:c r="M206" s="68"/>
      <x:c r="N206" s="68"/>
      <x:c r="O206" s="68"/>
      <x:c r="P206" s="68"/>
      <x:c r="Q206" s="68"/>
      <x:c r="R206" s="68"/>
      <x:c r="S206" s="68"/>
      <x:c r="T206" s="68"/>
      <x:c r="U206" s="68"/>
      <x:c r="V206" s="68"/>
      <x:c r="W206" s="68"/>
      <x:c r="X206" s="68"/>
      <x:c r="Y206" s="68"/>
      <x:c r="Z206" s="68"/>
    </x:row>
    <x:row r="207">
      <x:c r="A207" s="68"/>
      <x:c r="B207" s="68"/>
      <x:c r="C207" s="68"/>
      <x:c r="D207" s="68"/>
      <x:c r="E207" s="68"/>
      <x:c r="F207" s="68"/>
      <x:c r="G207" s="68"/>
      <x:c r="H207" s="68"/>
      <x:c r="I207" s="68"/>
      <x:c r="J207" s="68"/>
      <x:c r="K207" s="68"/>
      <x:c r="L207" s="68"/>
      <x:c r="M207" s="68"/>
      <x:c r="N207" s="68"/>
      <x:c r="O207" s="68"/>
      <x:c r="P207" s="68"/>
      <x:c r="Q207" s="68"/>
      <x:c r="R207" s="68"/>
      <x:c r="S207" s="68"/>
      <x:c r="T207" s="68"/>
      <x:c r="U207" s="68"/>
      <x:c r="V207" s="68"/>
      <x:c r="W207" s="68"/>
      <x:c r="X207" s="68"/>
      <x:c r="Y207" s="68"/>
      <x:c r="Z207" s="68"/>
    </x:row>
    <x:row r="208">
      <x:c r="A208" s="68"/>
      <x:c r="B208" s="68"/>
      <x:c r="C208" s="68"/>
      <x:c r="D208" s="68"/>
      <x:c r="E208" s="68"/>
      <x:c r="F208" s="68"/>
      <x:c r="G208" s="68"/>
      <x:c r="H208" s="68"/>
      <x:c r="I208" s="68"/>
      <x:c r="J208" s="68"/>
      <x:c r="K208" s="68"/>
      <x:c r="L208" s="68"/>
      <x:c r="M208" s="68"/>
      <x:c r="N208" s="68"/>
      <x:c r="O208" s="68"/>
      <x:c r="P208" s="68"/>
      <x:c r="Q208" s="68"/>
      <x:c r="R208" s="68"/>
      <x:c r="S208" s="68"/>
      <x:c r="T208" s="68"/>
      <x:c r="U208" s="68"/>
      <x:c r="V208" s="68"/>
      <x:c r="W208" s="68"/>
      <x:c r="X208" s="68"/>
      <x:c r="Y208" s="68"/>
      <x:c r="Z208" s="68"/>
    </x:row>
    <x:row r="209">
      <x:c r="A209" s="68"/>
      <x:c r="B209" s="68"/>
      <x:c r="C209" s="68"/>
      <x:c r="D209" s="68"/>
      <x:c r="E209" s="68"/>
      <x:c r="F209" s="68"/>
      <x:c r="G209" s="68"/>
      <x:c r="H209" s="68"/>
      <x:c r="I209" s="68"/>
      <x:c r="J209" s="68"/>
      <x:c r="K209" s="68"/>
      <x:c r="L209" s="68"/>
      <x:c r="M209" s="68"/>
      <x:c r="N209" s="68"/>
      <x:c r="O209" s="68"/>
      <x:c r="P209" s="68"/>
      <x:c r="Q209" s="68"/>
      <x:c r="R209" s="68"/>
      <x:c r="S209" s="68"/>
      <x:c r="T209" s="68"/>
      <x:c r="U209" s="68"/>
      <x:c r="V209" s="68"/>
      <x:c r="W209" s="68"/>
      <x:c r="X209" s="68"/>
      <x:c r="Y209" s="68"/>
      <x:c r="Z209" s="68"/>
    </x:row>
    <x:row r="210">
      <x:c r="A210" s="68"/>
      <x:c r="B210" s="68"/>
      <x:c r="C210" s="68"/>
      <x:c r="D210" s="68"/>
      <x:c r="E210" s="68"/>
      <x:c r="F210" s="68"/>
      <x:c r="G210" s="68"/>
      <x:c r="H210" s="68"/>
      <x:c r="I210" s="68"/>
      <x:c r="J210" s="68"/>
      <x:c r="K210" s="68"/>
      <x:c r="L210" s="68"/>
      <x:c r="M210" s="68"/>
      <x:c r="N210" s="68"/>
      <x:c r="O210" s="68"/>
      <x:c r="P210" s="68"/>
      <x:c r="Q210" s="68"/>
      <x:c r="R210" s="68"/>
      <x:c r="S210" s="68"/>
      <x:c r="T210" s="68"/>
      <x:c r="U210" s="68"/>
      <x:c r="V210" s="68"/>
      <x:c r="W210" s="68"/>
      <x:c r="X210" s="68"/>
      <x:c r="Y210" s="68"/>
      <x:c r="Z210" s="68"/>
    </x:row>
    <x:row r="211">
      <x:c r="A211" s="68"/>
      <x:c r="B211" s="68"/>
      <x:c r="C211" s="68"/>
      <x:c r="D211" s="68"/>
      <x:c r="E211" s="68"/>
      <x:c r="F211" s="68"/>
      <x:c r="G211" s="68"/>
      <x:c r="H211" s="68"/>
      <x:c r="I211" s="68"/>
      <x:c r="J211" s="68"/>
      <x:c r="K211" s="68"/>
      <x:c r="L211" s="68"/>
      <x:c r="M211" s="68"/>
      <x:c r="N211" s="68"/>
      <x:c r="O211" s="68"/>
      <x:c r="P211" s="68"/>
      <x:c r="Q211" s="68"/>
      <x:c r="R211" s="68"/>
      <x:c r="S211" s="68"/>
      <x:c r="T211" s="68"/>
      <x:c r="U211" s="68"/>
      <x:c r="V211" s="68"/>
      <x:c r="W211" s="68"/>
      <x:c r="X211" s="68"/>
      <x:c r="Y211" s="68"/>
      <x:c r="Z211" s="68"/>
    </x:row>
    <x:row r="212">
      <x:c r="A212" s="68"/>
      <x:c r="B212" s="68"/>
      <x:c r="C212" s="68"/>
      <x:c r="D212" s="68"/>
      <x:c r="E212" s="68"/>
      <x:c r="F212" s="68"/>
      <x:c r="G212" s="68"/>
      <x:c r="H212" s="68"/>
      <x:c r="I212" s="68"/>
      <x:c r="J212" s="68"/>
      <x:c r="K212" s="68"/>
      <x:c r="L212" s="68"/>
      <x:c r="M212" s="68"/>
      <x:c r="N212" s="68"/>
      <x:c r="O212" s="68"/>
      <x:c r="P212" s="68"/>
      <x:c r="Q212" s="68"/>
      <x:c r="R212" s="68"/>
      <x:c r="S212" s="68"/>
      <x:c r="T212" s="68"/>
      <x:c r="U212" s="68"/>
      <x:c r="V212" s="68"/>
      <x:c r="W212" s="68"/>
      <x:c r="X212" s="68"/>
      <x:c r="Y212" s="68"/>
      <x:c r="Z212" s="68"/>
    </x:row>
    <x:row r="213">
      <x:c r="A213" s="68"/>
      <x:c r="B213" s="68"/>
      <x:c r="C213" s="68"/>
      <x:c r="D213" s="68"/>
      <x:c r="E213" s="68"/>
      <x:c r="F213" s="68"/>
      <x:c r="G213" s="68"/>
      <x:c r="H213" s="68"/>
      <x:c r="I213" s="68"/>
      <x:c r="J213" s="68"/>
      <x:c r="K213" s="68"/>
      <x:c r="L213" s="68"/>
      <x:c r="M213" s="68"/>
      <x:c r="N213" s="68"/>
      <x:c r="O213" s="68"/>
      <x:c r="P213" s="68"/>
      <x:c r="Q213" s="68"/>
      <x:c r="R213" s="68"/>
      <x:c r="S213" s="68"/>
      <x:c r="T213" s="68"/>
      <x:c r="U213" s="68"/>
      <x:c r="V213" s="68"/>
      <x:c r="W213" s="68"/>
      <x:c r="X213" s="68"/>
      <x:c r="Y213" s="68"/>
      <x:c r="Z213" s="68"/>
    </x:row>
    <x:row r="214">
      <x:c r="A214" s="68"/>
      <x:c r="B214" s="68"/>
      <x:c r="C214" s="68"/>
      <x:c r="D214" s="68"/>
      <x:c r="E214" s="68"/>
      <x:c r="F214" s="68"/>
      <x:c r="G214" s="68"/>
      <x:c r="H214" s="68"/>
      <x:c r="I214" s="68"/>
      <x:c r="J214" s="68"/>
      <x:c r="K214" s="68"/>
      <x:c r="L214" s="68"/>
      <x:c r="M214" s="68"/>
      <x:c r="N214" s="68"/>
      <x:c r="O214" s="68"/>
      <x:c r="P214" s="68"/>
      <x:c r="Q214" s="68"/>
      <x:c r="R214" s="68"/>
      <x:c r="S214" s="68"/>
      <x:c r="T214" s="68"/>
      <x:c r="U214" s="68"/>
      <x:c r="V214" s="68"/>
      <x:c r="W214" s="68"/>
      <x:c r="X214" s="68"/>
      <x:c r="Y214" s="68"/>
      <x:c r="Z214" s="68"/>
    </x:row>
    <x:row r="215">
      <x:c r="A215" s="68"/>
      <x:c r="B215" s="68"/>
      <x:c r="C215" s="68"/>
      <x:c r="D215" s="68"/>
      <x:c r="E215" s="68"/>
      <x:c r="F215" s="68"/>
      <x:c r="G215" s="68"/>
      <x:c r="H215" s="68"/>
      <x:c r="I215" s="68"/>
      <x:c r="J215" s="68"/>
      <x:c r="K215" s="68"/>
      <x:c r="L215" s="68"/>
      <x:c r="M215" s="68"/>
      <x:c r="N215" s="68"/>
      <x:c r="O215" s="68"/>
      <x:c r="P215" s="68"/>
      <x:c r="Q215" s="68"/>
      <x:c r="R215" s="68"/>
      <x:c r="S215" s="68"/>
      <x:c r="T215" s="68"/>
      <x:c r="U215" s="68"/>
      <x:c r="V215" s="68"/>
      <x:c r="W215" s="68"/>
      <x:c r="X215" s="68"/>
      <x:c r="Y215" s="68"/>
      <x:c r="Z215" s="68"/>
    </x:row>
    <x:row r="216">
      <x:c r="A216" s="68"/>
      <x:c r="B216" s="68"/>
      <x:c r="C216" s="68"/>
      <x:c r="D216" s="68"/>
      <x:c r="E216" s="68"/>
      <x:c r="F216" s="68"/>
      <x:c r="G216" s="68"/>
      <x:c r="H216" s="68"/>
      <x:c r="I216" s="68"/>
      <x:c r="J216" s="68"/>
      <x:c r="K216" s="68"/>
      <x:c r="L216" s="68"/>
      <x:c r="M216" s="68"/>
      <x:c r="N216" s="68"/>
      <x:c r="O216" s="68"/>
      <x:c r="P216" s="68"/>
      <x:c r="Q216" s="68"/>
      <x:c r="R216" s="68"/>
      <x:c r="S216" s="68"/>
      <x:c r="T216" s="68"/>
      <x:c r="U216" s="68"/>
      <x:c r="V216" s="68"/>
      <x:c r="W216" s="68"/>
      <x:c r="X216" s="68"/>
      <x:c r="Y216" s="68"/>
      <x:c r="Z216" s="68"/>
    </x:row>
    <x:row r="217">
      <x:c r="A217" s="68"/>
      <x:c r="B217" s="68"/>
      <x:c r="C217" s="68"/>
      <x:c r="D217" s="68"/>
      <x:c r="E217" s="68"/>
      <x:c r="F217" s="68"/>
      <x:c r="G217" s="68"/>
      <x:c r="H217" s="68"/>
      <x:c r="I217" s="68"/>
      <x:c r="J217" s="68"/>
      <x:c r="K217" s="68"/>
      <x:c r="L217" s="68"/>
      <x:c r="M217" s="68"/>
      <x:c r="N217" s="68"/>
      <x:c r="O217" s="68"/>
      <x:c r="P217" s="68"/>
      <x:c r="Q217" s="68"/>
      <x:c r="R217" s="68"/>
      <x:c r="S217" s="68"/>
      <x:c r="T217" s="68"/>
      <x:c r="U217" s="68"/>
      <x:c r="V217" s="68"/>
      <x:c r="W217" s="68"/>
      <x:c r="X217" s="68"/>
      <x:c r="Y217" s="68"/>
      <x:c r="Z217" s="68"/>
    </x:row>
    <x:row r="218">
      <x:c r="A218" s="68"/>
      <x:c r="B218" s="68"/>
      <x:c r="C218" s="68"/>
      <x:c r="D218" s="68"/>
      <x:c r="E218" s="68"/>
      <x:c r="F218" s="68"/>
      <x:c r="G218" s="68"/>
      <x:c r="H218" s="68"/>
      <x:c r="I218" s="68"/>
      <x:c r="J218" s="68"/>
      <x:c r="K218" s="68"/>
      <x:c r="L218" s="68"/>
      <x:c r="M218" s="68"/>
      <x:c r="N218" s="68"/>
      <x:c r="O218" s="68"/>
      <x:c r="P218" s="68"/>
      <x:c r="Q218" s="68"/>
      <x:c r="R218" s="68"/>
      <x:c r="S218" s="68"/>
      <x:c r="T218" s="68"/>
      <x:c r="U218" s="68"/>
      <x:c r="V218" s="68"/>
      <x:c r="W218" s="68"/>
      <x:c r="X218" s="68"/>
      <x:c r="Y218" s="68"/>
      <x:c r="Z218" s="68"/>
    </x:row>
    <x:row r="219">
      <x:c r="A219" s="68"/>
      <x:c r="B219" s="68"/>
      <x:c r="C219" s="68"/>
      <x:c r="D219" s="68"/>
      <x:c r="E219" s="68"/>
      <x:c r="F219" s="68"/>
      <x:c r="G219" s="68"/>
      <x:c r="H219" s="68"/>
      <x:c r="I219" s="68"/>
      <x:c r="J219" s="68"/>
      <x:c r="K219" s="68"/>
      <x:c r="L219" s="68"/>
      <x:c r="M219" s="68"/>
      <x:c r="N219" s="68"/>
      <x:c r="O219" s="68"/>
      <x:c r="P219" s="68"/>
      <x:c r="Q219" s="68"/>
      <x:c r="R219" s="68"/>
      <x:c r="S219" s="68"/>
      <x:c r="T219" s="68"/>
      <x:c r="U219" s="68"/>
      <x:c r="V219" s="68"/>
      <x:c r="W219" s="68"/>
      <x:c r="X219" s="68"/>
      <x:c r="Y219" s="68"/>
      <x:c r="Z219" s="68"/>
    </x:row>
    <x:row r="220">
      <x:c r="A220" s="68"/>
      <x:c r="B220" s="68"/>
      <x:c r="C220" s="68"/>
      <x:c r="D220" s="68"/>
      <x:c r="E220" s="68"/>
      <x:c r="F220" s="68"/>
      <x:c r="G220" s="68"/>
      <x:c r="H220" s="68"/>
      <x:c r="I220" s="68"/>
      <x:c r="J220" s="68"/>
      <x:c r="K220" s="68"/>
      <x:c r="L220" s="68"/>
      <x:c r="M220" s="68"/>
      <x:c r="N220" s="68"/>
      <x:c r="O220" s="68"/>
      <x:c r="P220" s="68"/>
      <x:c r="Q220" s="68"/>
      <x:c r="R220" s="68"/>
      <x:c r="S220" s="68"/>
      <x:c r="T220" s="68"/>
      <x:c r="U220" s="68"/>
      <x:c r="V220" s="68"/>
      <x:c r="W220" s="68"/>
      <x:c r="X220" s="68"/>
      <x:c r="Y220" s="68"/>
      <x:c r="Z220" s="68"/>
    </x:row>
    <x:row r="221">
      <x:c r="A221" s="68"/>
      <x:c r="B221" s="68"/>
      <x:c r="C221" s="68"/>
      <x:c r="D221" s="68"/>
      <x:c r="E221" s="68"/>
      <x:c r="F221" s="68"/>
      <x:c r="G221" s="68"/>
      <x:c r="H221" s="68"/>
      <x:c r="I221" s="68"/>
      <x:c r="J221" s="68"/>
      <x:c r="K221" s="68"/>
      <x:c r="L221" s="68"/>
      <x:c r="M221" s="68"/>
      <x:c r="N221" s="68"/>
      <x:c r="O221" s="68"/>
      <x:c r="P221" s="68"/>
      <x:c r="Q221" s="68"/>
      <x:c r="R221" s="68"/>
      <x:c r="S221" s="68"/>
      <x:c r="T221" s="68"/>
      <x:c r="U221" s="68"/>
      <x:c r="V221" s="68"/>
      <x:c r="W221" s="68"/>
      <x:c r="X221" s="68"/>
      <x:c r="Y221" s="68"/>
      <x:c r="Z221" s="68"/>
    </x:row>
    <x:row r="222">
      <x:c r="A222" s="68"/>
      <x:c r="B222" s="68"/>
      <x:c r="C222" s="68"/>
      <x:c r="D222" s="68"/>
      <x:c r="E222" s="68"/>
      <x:c r="F222" s="68"/>
      <x:c r="G222" s="68"/>
      <x:c r="H222" s="68"/>
      <x:c r="I222" s="68"/>
      <x:c r="J222" s="68"/>
      <x:c r="K222" s="68"/>
      <x:c r="L222" s="68"/>
      <x:c r="M222" s="68"/>
      <x:c r="N222" s="68"/>
      <x:c r="O222" s="68"/>
      <x:c r="P222" s="68"/>
      <x:c r="Q222" s="68"/>
      <x:c r="R222" s="68"/>
      <x:c r="S222" s="68"/>
      <x:c r="T222" s="68"/>
      <x:c r="U222" s="68"/>
      <x:c r="V222" s="68"/>
      <x:c r="W222" s="68"/>
      <x:c r="X222" s="68"/>
      <x:c r="Y222" s="68"/>
      <x:c r="Z222" s="68"/>
    </x:row>
    <x:row r="223">
      <x:c r="A223" s="68"/>
      <x:c r="B223" s="68"/>
      <x:c r="C223" s="68"/>
      <x:c r="D223" s="68"/>
      <x:c r="E223" s="68"/>
      <x:c r="F223" s="68"/>
      <x:c r="G223" s="68"/>
      <x:c r="H223" s="68"/>
      <x:c r="I223" s="68"/>
      <x:c r="J223" s="68"/>
      <x:c r="K223" s="68"/>
      <x:c r="L223" s="68"/>
      <x:c r="M223" s="68"/>
      <x:c r="N223" s="68"/>
      <x:c r="O223" s="68"/>
      <x:c r="P223" s="68"/>
      <x:c r="Q223" s="68"/>
      <x:c r="R223" s="68"/>
      <x:c r="S223" s="68"/>
      <x:c r="T223" s="68"/>
      <x:c r="U223" s="68"/>
      <x:c r="V223" s="68"/>
      <x:c r="W223" s="68"/>
      <x:c r="X223" s="68"/>
      <x:c r="Y223" s="68"/>
      <x:c r="Z223" s="68"/>
    </x:row>
    <x:row r="224">
      <x:c r="A224" s="68"/>
      <x:c r="B224" s="68"/>
      <x:c r="C224" s="68"/>
      <x:c r="D224" s="68"/>
      <x:c r="E224" s="68"/>
      <x:c r="F224" s="68"/>
      <x:c r="G224" s="68"/>
      <x:c r="H224" s="68"/>
      <x:c r="I224" s="68"/>
      <x:c r="J224" s="68"/>
      <x:c r="K224" s="68"/>
      <x:c r="L224" s="68"/>
      <x:c r="M224" s="68"/>
      <x:c r="N224" s="68"/>
      <x:c r="O224" s="68"/>
      <x:c r="P224" s="68"/>
      <x:c r="Q224" s="68"/>
      <x:c r="R224" s="68"/>
      <x:c r="S224" s="68"/>
      <x:c r="T224" s="68"/>
      <x:c r="U224" s="68"/>
      <x:c r="V224" s="68"/>
      <x:c r="W224" s="68"/>
      <x:c r="X224" s="68"/>
      <x:c r="Y224" s="68"/>
      <x:c r="Z224" s="68"/>
    </x:row>
    <x:row r="225">
      <x:c r="A225" s="68"/>
      <x:c r="B225" s="68"/>
      <x:c r="C225" s="68"/>
      <x:c r="D225" s="68"/>
      <x:c r="E225" s="68"/>
      <x:c r="F225" s="68"/>
      <x:c r="G225" s="68"/>
      <x:c r="H225" s="68"/>
      <x:c r="I225" s="68"/>
      <x:c r="J225" s="68"/>
      <x:c r="K225" s="68"/>
      <x:c r="L225" s="68"/>
      <x:c r="M225" s="68"/>
      <x:c r="N225" s="68"/>
      <x:c r="O225" s="68"/>
      <x:c r="P225" s="68"/>
      <x:c r="Q225" s="68"/>
      <x:c r="R225" s="68"/>
      <x:c r="S225" s="68"/>
      <x:c r="T225" s="68"/>
      <x:c r="U225" s="68"/>
      <x:c r="V225" s="68"/>
      <x:c r="W225" s="68"/>
      <x:c r="X225" s="68"/>
      <x:c r="Y225" s="68"/>
      <x:c r="Z225" s="68"/>
    </x:row>
    <x:row r="226">
      <x:c r="A226" s="68"/>
      <x:c r="B226" s="68"/>
      <x:c r="C226" s="68"/>
      <x:c r="D226" s="68"/>
      <x:c r="E226" s="68"/>
      <x:c r="F226" s="68"/>
      <x:c r="G226" s="68"/>
      <x:c r="H226" s="68"/>
      <x:c r="I226" s="68"/>
      <x:c r="J226" s="68"/>
      <x:c r="K226" s="68"/>
      <x:c r="L226" s="68"/>
      <x:c r="M226" s="68"/>
      <x:c r="N226" s="68"/>
      <x:c r="O226" s="68"/>
      <x:c r="P226" s="68"/>
      <x:c r="Q226" s="68"/>
      <x:c r="R226" s="68"/>
      <x:c r="S226" s="68"/>
      <x:c r="T226" s="68"/>
      <x:c r="U226" s="68"/>
      <x:c r="V226" s="68"/>
      <x:c r="W226" s="68"/>
      <x:c r="X226" s="68"/>
      <x:c r="Y226" s="68"/>
      <x:c r="Z226" s="68"/>
    </x:row>
    <x:row r="227">
      <x:c r="A227" s="68"/>
      <x:c r="B227" s="68"/>
      <x:c r="C227" s="68"/>
      <x:c r="D227" s="68"/>
      <x:c r="E227" s="68"/>
      <x:c r="F227" s="68"/>
      <x:c r="G227" s="68"/>
      <x:c r="H227" s="68"/>
      <x:c r="I227" s="68"/>
      <x:c r="J227" s="68"/>
      <x:c r="K227" s="68"/>
      <x:c r="L227" s="68"/>
      <x:c r="M227" s="68"/>
      <x:c r="N227" s="68"/>
      <x:c r="O227" s="68"/>
      <x:c r="P227" s="68"/>
      <x:c r="Q227" s="68"/>
      <x:c r="R227" s="68"/>
      <x:c r="S227" s="68"/>
      <x:c r="T227" s="68"/>
      <x:c r="U227" s="68"/>
      <x:c r="V227" s="68"/>
      <x:c r="W227" s="68"/>
      <x:c r="X227" s="68"/>
      <x:c r="Y227" s="68"/>
      <x:c r="Z227" s="68"/>
    </x:row>
    <x:row r="228">
      <x:c r="A228" s="68"/>
      <x:c r="B228" s="68"/>
      <x:c r="C228" s="68"/>
      <x:c r="D228" s="68"/>
      <x:c r="E228" s="68"/>
      <x:c r="F228" s="68"/>
      <x:c r="G228" s="68"/>
      <x:c r="H228" s="68"/>
      <x:c r="I228" s="68"/>
      <x:c r="J228" s="68"/>
      <x:c r="K228" s="68"/>
      <x:c r="L228" s="68"/>
      <x:c r="M228" s="68"/>
      <x:c r="N228" s="68"/>
      <x:c r="O228" s="68"/>
      <x:c r="P228" s="68"/>
      <x:c r="Q228" s="68"/>
      <x:c r="R228" s="68"/>
      <x:c r="S228" s="68"/>
      <x:c r="T228" s="68"/>
      <x:c r="U228" s="68"/>
      <x:c r="V228" s="68"/>
      <x:c r="W228" s="68"/>
      <x:c r="X228" s="68"/>
      <x:c r="Y228" s="68"/>
      <x:c r="Z228" s="68"/>
    </x:row>
    <x:row r="229">
      <x:c r="A229" s="68"/>
      <x:c r="B229" s="68"/>
      <x:c r="C229" s="68"/>
      <x:c r="D229" s="68"/>
      <x:c r="E229" s="68"/>
      <x:c r="F229" s="68"/>
      <x:c r="G229" s="68"/>
      <x:c r="H229" s="68"/>
      <x:c r="I229" s="68"/>
      <x:c r="J229" s="68"/>
      <x:c r="K229" s="68"/>
      <x:c r="L229" s="68"/>
      <x:c r="M229" s="68"/>
      <x:c r="N229" s="68"/>
      <x:c r="O229" s="68"/>
      <x:c r="P229" s="68"/>
      <x:c r="Q229" s="68"/>
      <x:c r="R229" s="68"/>
      <x:c r="S229" s="68"/>
      <x:c r="T229" s="68"/>
      <x:c r="U229" s="68"/>
      <x:c r="V229" s="68"/>
      <x:c r="W229" s="68"/>
      <x:c r="X229" s="68"/>
      <x:c r="Y229" s="68"/>
      <x:c r="Z229" s="68"/>
    </x:row>
    <x:row r="230">
      <x:c r="A230" s="68"/>
      <x:c r="B230" s="68"/>
      <x:c r="C230" s="68"/>
      <x:c r="D230" s="68"/>
      <x:c r="E230" s="68"/>
      <x:c r="F230" s="68"/>
      <x:c r="G230" s="68"/>
      <x:c r="H230" s="68"/>
      <x:c r="I230" s="68"/>
      <x:c r="J230" s="68"/>
      <x:c r="K230" s="68"/>
      <x:c r="L230" s="68"/>
      <x:c r="M230" s="68"/>
      <x:c r="N230" s="68"/>
      <x:c r="O230" s="68"/>
      <x:c r="P230" s="68"/>
      <x:c r="Q230" s="68"/>
      <x:c r="R230" s="68"/>
      <x:c r="S230" s="68"/>
      <x:c r="T230" s="68"/>
      <x:c r="U230" s="68"/>
      <x:c r="V230" s="68"/>
      <x:c r="W230" s="68"/>
      <x:c r="X230" s="68"/>
      <x:c r="Y230" s="68"/>
      <x:c r="Z230" s="68"/>
    </x:row>
    <x:row r="231">
      <x:c r="A231" s="68"/>
      <x:c r="B231" s="68"/>
      <x:c r="C231" s="68"/>
      <x:c r="D231" s="68"/>
      <x:c r="E231" s="68"/>
      <x:c r="F231" s="68"/>
      <x:c r="G231" s="68"/>
      <x:c r="H231" s="68"/>
      <x:c r="I231" s="68"/>
      <x:c r="J231" s="68"/>
      <x:c r="K231" s="68"/>
      <x:c r="L231" s="68"/>
      <x:c r="M231" s="68"/>
      <x:c r="N231" s="68"/>
      <x:c r="O231" s="68"/>
      <x:c r="P231" s="68"/>
      <x:c r="Q231" s="68"/>
      <x:c r="R231" s="68"/>
      <x:c r="S231" s="68"/>
      <x:c r="T231" s="68"/>
      <x:c r="U231" s="68"/>
      <x:c r="V231" s="68"/>
      <x:c r="W231" s="68"/>
      <x:c r="X231" s="68"/>
      <x:c r="Y231" s="68"/>
      <x:c r="Z231" s="68"/>
    </x:row>
    <x:row r="232">
      <x:c r="A232" s="68"/>
      <x:c r="B232" s="68"/>
      <x:c r="C232" s="68"/>
      <x:c r="D232" s="68"/>
      <x:c r="E232" s="68"/>
      <x:c r="F232" s="68"/>
      <x:c r="G232" s="68"/>
      <x:c r="H232" s="68"/>
      <x:c r="I232" s="68"/>
      <x:c r="J232" s="68"/>
      <x:c r="K232" s="68"/>
      <x:c r="L232" s="68"/>
      <x:c r="M232" s="68"/>
      <x:c r="N232" s="68"/>
      <x:c r="O232" s="68"/>
      <x:c r="P232" s="68"/>
      <x:c r="Q232" s="68"/>
      <x:c r="R232" s="68"/>
      <x:c r="S232" s="68"/>
      <x:c r="T232" s="68"/>
      <x:c r="U232" s="68"/>
      <x:c r="V232" s="68"/>
      <x:c r="W232" s="68"/>
      <x:c r="X232" s="68"/>
      <x:c r="Y232" s="68"/>
      <x:c r="Z232" s="68"/>
    </x:row>
    <x:row r="233">
      <x:c r="A233" s="68"/>
      <x:c r="B233" s="68"/>
      <x:c r="C233" s="68"/>
      <x:c r="D233" s="68"/>
      <x:c r="E233" s="68"/>
      <x:c r="F233" s="68"/>
      <x:c r="G233" s="68"/>
      <x:c r="H233" s="68"/>
      <x:c r="I233" s="68"/>
      <x:c r="J233" s="68"/>
      <x:c r="K233" s="68"/>
      <x:c r="L233" s="68"/>
      <x:c r="M233" s="68"/>
      <x:c r="N233" s="68"/>
      <x:c r="O233" s="68"/>
      <x:c r="P233" s="68"/>
      <x:c r="Q233" s="68"/>
      <x:c r="R233" s="68"/>
      <x:c r="S233" s="68"/>
      <x:c r="T233" s="68"/>
      <x:c r="U233" s="68"/>
      <x:c r="V233" s="68"/>
      <x:c r="W233" s="68"/>
      <x:c r="X233" s="68"/>
      <x:c r="Y233" s="68"/>
      <x:c r="Z233" s="68"/>
    </x:row>
    <x:row r="234">
      <x:c r="A234" s="68"/>
      <x:c r="B234" s="68"/>
      <x:c r="C234" s="68"/>
      <x:c r="D234" s="68"/>
      <x:c r="E234" s="68"/>
      <x:c r="F234" s="68"/>
      <x:c r="G234" s="68"/>
      <x:c r="H234" s="68"/>
      <x:c r="I234" s="68"/>
      <x:c r="J234" s="68"/>
      <x:c r="K234" s="68"/>
      <x:c r="L234" s="68"/>
      <x:c r="M234" s="68"/>
      <x:c r="N234" s="68"/>
      <x:c r="O234" s="68"/>
      <x:c r="P234" s="68"/>
      <x:c r="Q234" s="68"/>
      <x:c r="R234" s="68"/>
      <x:c r="S234" s="68"/>
      <x:c r="T234" s="68"/>
      <x:c r="U234" s="68"/>
      <x:c r="V234" s="68"/>
      <x:c r="W234" s="68"/>
      <x:c r="X234" s="68"/>
      <x:c r="Y234" s="68"/>
      <x:c r="Z234" s="68"/>
    </x:row>
    <x:row r="235">
      <x:c r="A235" s="68"/>
      <x:c r="B235" s="68"/>
      <x:c r="C235" s="68"/>
      <x:c r="D235" s="68"/>
      <x:c r="E235" s="68"/>
      <x:c r="F235" s="68"/>
      <x:c r="G235" s="68"/>
      <x:c r="H235" s="68"/>
      <x:c r="I235" s="68"/>
      <x:c r="J235" s="68"/>
      <x:c r="K235" s="68"/>
      <x:c r="L235" s="68"/>
      <x:c r="M235" s="68"/>
      <x:c r="N235" s="68"/>
      <x:c r="O235" s="68"/>
      <x:c r="P235" s="68"/>
      <x:c r="Q235" s="68"/>
      <x:c r="R235" s="68"/>
      <x:c r="S235" s="68"/>
      <x:c r="T235" s="68"/>
      <x:c r="U235" s="68"/>
      <x:c r="V235" s="68"/>
      <x:c r="W235" s="68"/>
      <x:c r="X235" s="68"/>
      <x:c r="Y235" s="68"/>
      <x:c r="Z235" s="68"/>
    </x:row>
    <x:row r="236">
      <x:c r="A236" s="68"/>
      <x:c r="B236" s="68"/>
      <x:c r="C236" s="68"/>
      <x:c r="D236" s="68"/>
      <x:c r="E236" s="68"/>
      <x:c r="F236" s="68"/>
      <x:c r="G236" s="68"/>
      <x:c r="H236" s="68"/>
      <x:c r="I236" s="68"/>
      <x:c r="J236" s="68"/>
      <x:c r="K236" s="68"/>
      <x:c r="L236" s="68"/>
      <x:c r="M236" s="68"/>
      <x:c r="N236" s="68"/>
      <x:c r="O236" s="68"/>
      <x:c r="P236" s="68"/>
      <x:c r="Q236" s="68"/>
      <x:c r="R236" s="68"/>
      <x:c r="S236" s="68"/>
      <x:c r="T236" s="68"/>
      <x:c r="U236" s="68"/>
      <x:c r="V236" s="68"/>
      <x:c r="W236" s="68"/>
      <x:c r="X236" s="68"/>
      <x:c r="Y236" s="68"/>
      <x:c r="Z236" s="68"/>
    </x:row>
    <x:row r="237">
      <x:c r="A237" s="68"/>
      <x:c r="B237" s="68"/>
      <x:c r="C237" s="68"/>
      <x:c r="D237" s="68"/>
      <x:c r="E237" s="68"/>
      <x:c r="F237" s="68"/>
      <x:c r="G237" s="68"/>
      <x:c r="H237" s="68"/>
      <x:c r="I237" s="68"/>
      <x:c r="J237" s="68"/>
      <x:c r="K237" s="68"/>
      <x:c r="L237" s="68"/>
      <x:c r="M237" s="68"/>
      <x:c r="N237" s="68"/>
      <x:c r="O237" s="68"/>
      <x:c r="P237" s="68"/>
      <x:c r="Q237" s="68"/>
      <x:c r="R237" s="68"/>
      <x:c r="S237" s="68"/>
      <x:c r="T237" s="68"/>
      <x:c r="U237" s="68"/>
      <x:c r="V237" s="68"/>
      <x:c r="W237" s="68"/>
      <x:c r="X237" s="68"/>
      <x:c r="Y237" s="68"/>
      <x:c r="Z237" s="68"/>
    </x:row>
    <x:row r="238">
      <x:c r="A238" s="68"/>
      <x:c r="B238" s="68"/>
      <x:c r="C238" s="68"/>
      <x:c r="D238" s="68"/>
      <x:c r="E238" s="68"/>
      <x:c r="F238" s="68"/>
      <x:c r="G238" s="68"/>
      <x:c r="H238" s="68"/>
      <x:c r="I238" s="68"/>
      <x:c r="J238" s="68"/>
      <x:c r="K238" s="68"/>
      <x:c r="L238" s="68"/>
      <x:c r="M238" s="68"/>
      <x:c r="N238" s="68"/>
      <x:c r="O238" s="68"/>
      <x:c r="P238" s="68"/>
      <x:c r="Q238" s="68"/>
      <x:c r="R238" s="68"/>
      <x:c r="S238" s="68"/>
      <x:c r="T238" s="68"/>
      <x:c r="U238" s="68"/>
      <x:c r="V238" s="68"/>
      <x:c r="W238" s="68"/>
      <x:c r="X238" s="68"/>
      <x:c r="Y238" s="68"/>
      <x:c r="Z238" s="68"/>
    </x:row>
    <x:row r="239">
      <x:c r="A239" s="68"/>
      <x:c r="B239" s="68"/>
      <x:c r="C239" s="68"/>
      <x:c r="D239" s="68"/>
      <x:c r="E239" s="68"/>
      <x:c r="F239" s="68"/>
      <x:c r="G239" s="68"/>
      <x:c r="H239" s="68"/>
      <x:c r="I239" s="68"/>
      <x:c r="J239" s="68"/>
      <x:c r="K239" s="68"/>
      <x:c r="L239" s="68"/>
      <x:c r="M239" s="68"/>
      <x:c r="N239" s="68"/>
      <x:c r="O239" s="68"/>
      <x:c r="P239" s="68"/>
      <x:c r="Q239" s="68"/>
      <x:c r="R239" s="68"/>
      <x:c r="S239" s="68"/>
      <x:c r="T239" s="68"/>
      <x:c r="U239" s="68"/>
      <x:c r="V239" s="68"/>
      <x:c r="W239" s="68"/>
      <x:c r="X239" s="68"/>
      <x:c r="Y239" s="68"/>
      <x:c r="Z239" s="68"/>
    </x:row>
    <x:row r="240">
      <x:c r="A240" s="68"/>
      <x:c r="B240" s="68"/>
      <x:c r="C240" s="68"/>
      <x:c r="D240" s="68"/>
      <x:c r="E240" s="68"/>
      <x:c r="F240" s="68"/>
      <x:c r="G240" s="68"/>
      <x:c r="H240" s="68"/>
      <x:c r="I240" s="68"/>
      <x:c r="J240" s="68"/>
      <x:c r="K240" s="68"/>
      <x:c r="L240" s="68"/>
      <x:c r="M240" s="68"/>
      <x:c r="N240" s="68"/>
      <x:c r="O240" s="68"/>
      <x:c r="P240" s="68"/>
      <x:c r="Q240" s="68"/>
      <x:c r="R240" s="68"/>
      <x:c r="S240" s="68"/>
      <x:c r="T240" s="68"/>
      <x:c r="U240" s="68"/>
      <x:c r="V240" s="68"/>
      <x:c r="W240" s="68"/>
      <x:c r="X240" s="68"/>
      <x:c r="Y240" s="68"/>
      <x:c r="Z240" s="68"/>
    </x:row>
    <x:row r="241">
      <x:c r="A241" s="68"/>
      <x:c r="B241" s="68"/>
      <x:c r="C241" s="68"/>
      <x:c r="D241" s="68"/>
      <x:c r="E241" s="68"/>
      <x:c r="F241" s="68"/>
      <x:c r="G241" s="68"/>
      <x:c r="H241" s="68"/>
      <x:c r="I241" s="68"/>
      <x:c r="J241" s="68"/>
      <x:c r="K241" s="68"/>
      <x:c r="L241" s="68"/>
      <x:c r="M241" s="68"/>
      <x:c r="N241" s="68"/>
      <x:c r="O241" s="68"/>
      <x:c r="P241" s="68"/>
      <x:c r="Q241" s="68"/>
      <x:c r="R241" s="68"/>
      <x:c r="S241" s="68"/>
      <x:c r="T241" s="68"/>
      <x:c r="U241" s="68"/>
      <x:c r="V241" s="68"/>
      <x:c r="W241" s="68"/>
      <x:c r="X241" s="68"/>
      <x:c r="Y241" s="68"/>
      <x:c r="Z241" s="68"/>
    </x:row>
    <x:row r="242">
      <x:c r="A242" s="68"/>
      <x:c r="B242" s="68"/>
      <x:c r="C242" s="68"/>
      <x:c r="D242" s="68"/>
      <x:c r="E242" s="68"/>
      <x:c r="F242" s="68"/>
      <x:c r="G242" s="68"/>
      <x:c r="H242" s="68"/>
      <x:c r="I242" s="68"/>
      <x:c r="J242" s="68"/>
      <x:c r="K242" s="68"/>
      <x:c r="L242" s="68"/>
      <x:c r="M242" s="68"/>
      <x:c r="N242" s="68"/>
      <x:c r="O242" s="68"/>
      <x:c r="P242" s="68"/>
      <x:c r="Q242" s="68"/>
      <x:c r="R242" s="68"/>
      <x:c r="S242" s="68"/>
      <x:c r="T242" s="68"/>
      <x:c r="U242" s="68"/>
      <x:c r="V242" s="68"/>
      <x:c r="W242" s="68"/>
      <x:c r="X242" s="68"/>
      <x:c r="Y242" s="68"/>
      <x:c r="Z242" s="68"/>
    </x:row>
    <x:row r="243">
      <x:c r="A243" s="68"/>
      <x:c r="B243" s="68"/>
      <x:c r="C243" s="68"/>
      <x:c r="D243" s="68"/>
      <x:c r="E243" s="68"/>
      <x:c r="F243" s="68"/>
      <x:c r="G243" s="68"/>
      <x:c r="H243" s="68"/>
      <x:c r="I243" s="68"/>
      <x:c r="J243" s="68"/>
      <x:c r="K243" s="68"/>
      <x:c r="L243" s="68"/>
      <x:c r="M243" s="68"/>
      <x:c r="N243" s="68"/>
      <x:c r="O243" s="68"/>
      <x:c r="P243" s="68"/>
      <x:c r="Q243" s="68"/>
      <x:c r="R243" s="68"/>
      <x:c r="S243" s="68"/>
      <x:c r="T243" s="68"/>
      <x:c r="U243" s="68"/>
      <x:c r="V243" s="68"/>
      <x:c r="W243" s="68"/>
      <x:c r="X243" s="68"/>
      <x:c r="Y243" s="68"/>
      <x:c r="Z243" s="68"/>
    </x:row>
    <x:row r="244">
      <x:c r="A244" s="68"/>
      <x:c r="B244" s="68"/>
      <x:c r="C244" s="68"/>
      <x:c r="D244" s="68"/>
      <x:c r="E244" s="68"/>
      <x:c r="F244" s="68"/>
      <x:c r="G244" s="68"/>
      <x:c r="H244" s="68"/>
      <x:c r="I244" s="68"/>
      <x:c r="J244" s="68"/>
      <x:c r="K244" s="68"/>
      <x:c r="L244" s="68"/>
      <x:c r="M244" s="68"/>
      <x:c r="N244" s="68"/>
      <x:c r="O244" s="68"/>
      <x:c r="P244" s="68"/>
      <x:c r="Q244" s="68"/>
      <x:c r="R244" s="68"/>
      <x:c r="S244" s="68"/>
      <x:c r="T244" s="68"/>
      <x:c r="U244" s="68"/>
      <x:c r="V244" s="68"/>
      <x:c r="W244" s="68"/>
      <x:c r="X244" s="68"/>
      <x:c r="Y244" s="68"/>
      <x:c r="Z244" s="68"/>
    </x:row>
    <x:row r="245">
      <x:c r="A245" s="68"/>
      <x:c r="B245" s="68"/>
      <x:c r="C245" s="68"/>
      <x:c r="D245" s="68"/>
      <x:c r="E245" s="68"/>
      <x:c r="F245" s="68"/>
      <x:c r="G245" s="68"/>
      <x:c r="H245" s="68"/>
      <x:c r="I245" s="68"/>
      <x:c r="J245" s="68"/>
      <x:c r="K245" s="68"/>
      <x:c r="L245" s="68"/>
      <x:c r="M245" s="68"/>
      <x:c r="N245" s="68"/>
      <x:c r="O245" s="68"/>
      <x:c r="P245" s="68"/>
      <x:c r="Q245" s="68"/>
      <x:c r="R245" s="68"/>
      <x:c r="S245" s="68"/>
      <x:c r="T245" s="68"/>
      <x:c r="U245" s="68"/>
      <x:c r="V245" s="68"/>
      <x:c r="W245" s="68"/>
      <x:c r="X245" s="68"/>
      <x:c r="Y245" s="68"/>
      <x:c r="Z245" s="68"/>
    </x:row>
    <x:row r="246">
      <x:c r="A246" s="68"/>
      <x:c r="B246" s="68"/>
      <x:c r="C246" s="68"/>
      <x:c r="D246" s="68"/>
      <x:c r="E246" s="68"/>
      <x:c r="F246" s="68"/>
      <x:c r="G246" s="68"/>
      <x:c r="H246" s="68"/>
      <x:c r="I246" s="68"/>
      <x:c r="J246" s="68"/>
      <x:c r="K246" s="68"/>
      <x:c r="L246" s="68"/>
      <x:c r="M246" s="68"/>
      <x:c r="N246" s="68"/>
      <x:c r="O246" s="68"/>
      <x:c r="P246" s="68"/>
      <x:c r="Q246" s="68"/>
      <x:c r="R246" s="68"/>
      <x:c r="S246" s="68"/>
      <x:c r="T246" s="68"/>
      <x:c r="U246" s="68"/>
      <x:c r="V246" s="68"/>
      <x:c r="W246" s="68"/>
      <x:c r="X246" s="68"/>
      <x:c r="Y246" s="68"/>
      <x:c r="Z246" s="68"/>
    </x:row>
    <x:row r="247">
      <x:c r="A247" s="68"/>
      <x:c r="B247" s="68"/>
      <x:c r="C247" s="68"/>
      <x:c r="D247" s="68"/>
      <x:c r="E247" s="68"/>
      <x:c r="F247" s="68"/>
      <x:c r="G247" s="68"/>
      <x:c r="H247" s="68"/>
      <x:c r="I247" s="68"/>
      <x:c r="J247" s="68"/>
      <x:c r="K247" s="68"/>
      <x:c r="L247" s="68"/>
      <x:c r="M247" s="68"/>
      <x:c r="N247" s="68"/>
      <x:c r="O247" s="68"/>
      <x:c r="P247" s="68"/>
      <x:c r="Q247" s="68"/>
      <x:c r="R247" s="68"/>
      <x:c r="S247" s="68"/>
      <x:c r="T247" s="68"/>
      <x:c r="U247" s="68"/>
      <x:c r="V247" s="68"/>
      <x:c r="W247" s="68"/>
      <x:c r="X247" s="68"/>
      <x:c r="Y247" s="68"/>
      <x:c r="Z247" s="68"/>
    </x:row>
    <x:row r="248">
      <x:c r="A248" s="68"/>
      <x:c r="B248" s="68"/>
      <x:c r="C248" s="68"/>
      <x:c r="D248" s="68"/>
      <x:c r="E248" s="68"/>
      <x:c r="F248" s="68"/>
      <x:c r="G248" s="68"/>
      <x:c r="H248" s="68"/>
      <x:c r="I248" s="68"/>
      <x:c r="J248" s="68"/>
      <x:c r="K248" s="68"/>
      <x:c r="L248" s="68"/>
      <x:c r="M248" s="68"/>
      <x:c r="N248" s="68"/>
      <x:c r="O248" s="68"/>
      <x:c r="P248" s="68"/>
      <x:c r="Q248" s="68"/>
      <x:c r="R248" s="68"/>
      <x:c r="S248" s="68"/>
      <x:c r="T248" s="68"/>
      <x:c r="U248" s="68"/>
      <x:c r="V248" s="68"/>
      <x:c r="W248" s="68"/>
      <x:c r="X248" s="68"/>
      <x:c r="Y248" s="68"/>
      <x:c r="Z248" s="68"/>
    </x:row>
    <x:row r="249">
      <x:c r="A249" s="68"/>
      <x:c r="B249" s="68"/>
      <x:c r="C249" s="68"/>
      <x:c r="D249" s="68"/>
      <x:c r="E249" s="68"/>
      <x:c r="F249" s="68"/>
      <x:c r="G249" s="68"/>
      <x:c r="H249" s="68"/>
      <x:c r="I249" s="68"/>
      <x:c r="J249" s="68"/>
      <x:c r="K249" s="68"/>
      <x:c r="L249" s="68"/>
      <x:c r="M249" s="68"/>
      <x:c r="N249" s="68"/>
      <x:c r="O249" s="68"/>
      <x:c r="P249" s="68"/>
      <x:c r="Q249" s="68"/>
      <x:c r="R249" s="68"/>
      <x:c r="S249" s="68"/>
      <x:c r="T249" s="68"/>
      <x:c r="U249" s="68"/>
      <x:c r="V249" s="68"/>
      <x:c r="W249" s="68"/>
      <x:c r="X249" s="68"/>
      <x:c r="Y249" s="68"/>
      <x:c r="Z249" s="68"/>
    </x:row>
    <x:row r="250">
      <x:c r="A250" s="68"/>
      <x:c r="B250" s="68"/>
      <x:c r="C250" s="68"/>
      <x:c r="D250" s="68"/>
      <x:c r="E250" s="68"/>
      <x:c r="F250" s="68"/>
      <x:c r="G250" s="68"/>
      <x:c r="H250" s="68"/>
      <x:c r="I250" s="68"/>
      <x:c r="J250" s="68"/>
      <x:c r="K250" s="68"/>
      <x:c r="L250" s="68"/>
      <x:c r="M250" s="68"/>
      <x:c r="N250" s="68"/>
      <x:c r="O250" s="68"/>
      <x:c r="P250" s="68"/>
      <x:c r="Q250" s="68"/>
      <x:c r="R250" s="68"/>
      <x:c r="S250" s="68"/>
      <x:c r="T250" s="68"/>
      <x:c r="U250" s="68"/>
      <x:c r="V250" s="68"/>
      <x:c r="W250" s="68"/>
      <x:c r="X250" s="68"/>
      <x:c r="Y250" s="68"/>
      <x:c r="Z250" s="68"/>
    </x:row>
    <x:row r="251">
      <x:c r="A251" s="68"/>
      <x:c r="B251" s="68"/>
      <x:c r="C251" s="68"/>
      <x:c r="D251" s="68"/>
      <x:c r="E251" s="68"/>
      <x:c r="F251" s="68"/>
      <x:c r="G251" s="68"/>
      <x:c r="H251" s="68"/>
      <x:c r="I251" s="68"/>
      <x:c r="J251" s="68"/>
      <x:c r="K251" s="68"/>
      <x:c r="L251" s="68"/>
      <x:c r="M251" s="68"/>
      <x:c r="N251" s="68"/>
      <x:c r="O251" s="68"/>
      <x:c r="P251" s="68"/>
      <x:c r="Q251" s="68"/>
      <x:c r="R251" s="68"/>
      <x:c r="S251" s="68"/>
      <x:c r="T251" s="68"/>
      <x:c r="U251" s="68"/>
      <x:c r="V251" s="68"/>
      <x:c r="W251" s="68"/>
      <x:c r="X251" s="68"/>
      <x:c r="Y251" s="68"/>
      <x:c r="Z251" s="68"/>
    </x:row>
    <x:row r="252">
      <x:c r="A252" s="68"/>
      <x:c r="B252" s="68"/>
      <x:c r="C252" s="68"/>
      <x:c r="D252" s="68"/>
      <x:c r="E252" s="68"/>
      <x:c r="F252" s="68"/>
      <x:c r="G252" s="68"/>
      <x:c r="H252" s="68"/>
      <x:c r="I252" s="68"/>
      <x:c r="J252" s="68"/>
      <x:c r="K252" s="68"/>
      <x:c r="L252" s="68"/>
      <x:c r="M252" s="68"/>
      <x:c r="N252" s="68"/>
      <x:c r="O252" s="68"/>
      <x:c r="P252" s="68"/>
      <x:c r="Q252" s="68"/>
      <x:c r="R252" s="68"/>
      <x:c r="S252" s="68"/>
      <x:c r="T252" s="68"/>
      <x:c r="U252" s="68"/>
      <x:c r="V252" s="68"/>
      <x:c r="W252" s="68"/>
      <x:c r="X252" s="68"/>
      <x:c r="Y252" s="68"/>
      <x:c r="Z252" s="68"/>
    </x:row>
    <x:row r="253">
      <x:c r="A253" s="68"/>
      <x:c r="B253" s="68"/>
      <x:c r="C253" s="68"/>
      <x:c r="D253" s="68"/>
      <x:c r="E253" s="68"/>
      <x:c r="F253" s="68"/>
      <x:c r="G253" s="68"/>
      <x:c r="H253" s="68"/>
      <x:c r="I253" s="68"/>
      <x:c r="J253" s="68"/>
      <x:c r="K253" s="68"/>
      <x:c r="L253" s="68"/>
      <x:c r="M253" s="68"/>
      <x:c r="N253" s="68"/>
      <x:c r="O253" s="68"/>
      <x:c r="P253" s="68"/>
      <x:c r="Q253" s="68"/>
      <x:c r="R253" s="68"/>
      <x:c r="S253" s="68"/>
      <x:c r="T253" s="68"/>
      <x:c r="U253" s="68"/>
      <x:c r="V253" s="68"/>
      <x:c r="W253" s="68"/>
      <x:c r="X253" s="68"/>
      <x:c r="Y253" s="68"/>
      <x:c r="Z253" s="68"/>
    </x:row>
    <x:row r="254">
      <x:c r="A254" s="68"/>
      <x:c r="B254" s="68"/>
      <x:c r="C254" s="68"/>
      <x:c r="D254" s="68"/>
      <x:c r="E254" s="68"/>
      <x:c r="F254" s="68"/>
      <x:c r="G254" s="68"/>
      <x:c r="H254" s="68"/>
      <x:c r="I254" s="68"/>
      <x:c r="J254" s="68"/>
      <x:c r="K254" s="68"/>
      <x:c r="L254" s="68"/>
      <x:c r="M254" s="68"/>
      <x:c r="N254" s="68"/>
      <x:c r="O254" s="68"/>
      <x:c r="P254" s="68"/>
      <x:c r="Q254" s="68"/>
      <x:c r="R254" s="68"/>
      <x:c r="S254" s="68"/>
      <x:c r="T254" s="68"/>
      <x:c r="U254" s="68"/>
      <x:c r="V254" s="68"/>
      <x:c r="W254" s="68"/>
      <x:c r="X254" s="68"/>
      <x:c r="Y254" s="68"/>
      <x:c r="Z254" s="68"/>
    </x:row>
    <x:row r="255">
      <x:c r="A255" s="68"/>
      <x:c r="B255" s="68"/>
      <x:c r="C255" s="68"/>
      <x:c r="D255" s="68"/>
      <x:c r="E255" s="68"/>
      <x:c r="F255" s="68"/>
      <x:c r="G255" s="68"/>
      <x:c r="H255" s="68"/>
      <x:c r="I255" s="68"/>
      <x:c r="J255" s="68"/>
      <x:c r="K255" s="68"/>
      <x:c r="L255" s="68"/>
      <x:c r="M255" s="68"/>
      <x:c r="N255" s="68"/>
      <x:c r="O255" s="68"/>
      <x:c r="P255" s="68"/>
      <x:c r="Q255" s="68"/>
      <x:c r="R255" s="68"/>
      <x:c r="S255" s="68"/>
      <x:c r="T255" s="68"/>
      <x:c r="U255" s="68"/>
      <x:c r="V255" s="68"/>
      <x:c r="W255" s="68"/>
      <x:c r="X255" s="68"/>
      <x:c r="Y255" s="68"/>
      <x:c r="Z255" s="68"/>
    </x:row>
    <x:row r="256">
      <x:c r="A256" s="68"/>
      <x:c r="B256" s="68"/>
      <x:c r="C256" s="68"/>
      <x:c r="D256" s="68"/>
      <x:c r="E256" s="68"/>
      <x:c r="F256" s="68"/>
      <x:c r="G256" s="68"/>
      <x:c r="H256" s="68"/>
      <x:c r="I256" s="68"/>
      <x:c r="J256" s="68"/>
      <x:c r="K256" s="68"/>
      <x:c r="L256" s="68"/>
      <x:c r="M256" s="68"/>
      <x:c r="N256" s="68"/>
      <x:c r="O256" s="68"/>
      <x:c r="P256" s="68"/>
      <x:c r="Q256" s="68"/>
      <x:c r="R256" s="68"/>
      <x:c r="S256" s="68"/>
      <x:c r="T256" s="68"/>
      <x:c r="U256" s="68"/>
      <x:c r="V256" s="68"/>
      <x:c r="W256" s="68"/>
      <x:c r="X256" s="68"/>
      <x:c r="Y256" s="68"/>
      <x:c r="Z256" s="68"/>
    </x:row>
    <x:row r="257">
      <x:c r="A257" s="68"/>
      <x:c r="B257" s="68"/>
      <x:c r="C257" s="68"/>
      <x:c r="D257" s="68"/>
      <x:c r="E257" s="68"/>
      <x:c r="F257" s="68"/>
      <x:c r="G257" s="68"/>
      <x:c r="H257" s="68"/>
      <x:c r="I257" s="68"/>
      <x:c r="J257" s="68"/>
      <x:c r="K257" s="68"/>
      <x:c r="L257" s="68"/>
      <x:c r="M257" s="68"/>
      <x:c r="N257" s="68"/>
      <x:c r="O257" s="68"/>
      <x:c r="P257" s="68"/>
      <x:c r="Q257" s="68"/>
      <x:c r="R257" s="68"/>
      <x:c r="S257" s="68"/>
      <x:c r="T257" s="68"/>
      <x:c r="U257" s="68"/>
      <x:c r="V257" s="68"/>
      <x:c r="W257" s="68"/>
      <x:c r="X257" s="68"/>
      <x:c r="Y257" s="68"/>
      <x:c r="Z257" s="68"/>
    </x:row>
    <x:row r="258">
      <x:c r="A258" s="68"/>
      <x:c r="B258" s="68"/>
      <x:c r="C258" s="68"/>
      <x:c r="D258" s="68"/>
      <x:c r="E258" s="68"/>
      <x:c r="F258" s="68"/>
      <x:c r="G258" s="68"/>
      <x:c r="H258" s="68"/>
      <x:c r="I258" s="68"/>
      <x:c r="J258" s="68"/>
      <x:c r="K258" s="68"/>
      <x:c r="L258" s="68"/>
      <x:c r="M258" s="68"/>
      <x:c r="N258" s="68"/>
      <x:c r="O258" s="68"/>
      <x:c r="P258" s="68"/>
      <x:c r="Q258" s="68"/>
      <x:c r="R258" s="68"/>
      <x:c r="S258" s="68"/>
      <x:c r="T258" s="68"/>
      <x:c r="U258" s="68"/>
      <x:c r="V258" s="68"/>
      <x:c r="W258" s="68"/>
      <x:c r="X258" s="68"/>
      <x:c r="Y258" s="68"/>
      <x:c r="Z258" s="68"/>
    </x:row>
    <x:row r="259">
      <x:c r="A259" s="68"/>
      <x:c r="B259" s="68"/>
      <x:c r="C259" s="68"/>
      <x:c r="D259" s="68"/>
      <x:c r="E259" s="68"/>
      <x:c r="F259" s="68"/>
      <x:c r="G259" s="68"/>
      <x:c r="H259" s="68"/>
      <x:c r="I259" s="68"/>
      <x:c r="J259" s="68"/>
      <x:c r="K259" s="68"/>
      <x:c r="L259" s="68"/>
      <x:c r="M259" s="68"/>
      <x:c r="N259" s="68"/>
      <x:c r="O259" s="68"/>
      <x:c r="P259" s="68"/>
      <x:c r="Q259" s="68"/>
      <x:c r="R259" s="68"/>
      <x:c r="S259" s="68"/>
      <x:c r="T259" s="68"/>
      <x:c r="U259" s="68"/>
      <x:c r="V259" s="68"/>
      <x:c r="W259" s="68"/>
      <x:c r="X259" s="68"/>
      <x:c r="Y259" s="68"/>
      <x:c r="Z259" s="68"/>
    </x:row>
    <x:row r="260">
      <x:c r="A260" s="68"/>
      <x:c r="B260" s="68"/>
      <x:c r="C260" s="68"/>
      <x:c r="D260" s="68"/>
      <x:c r="E260" s="68"/>
      <x:c r="F260" s="68"/>
      <x:c r="G260" s="68"/>
      <x:c r="H260" s="68"/>
      <x:c r="I260" s="68"/>
      <x:c r="J260" s="68"/>
      <x:c r="K260" s="68"/>
      <x:c r="L260" s="68"/>
      <x:c r="M260" s="68"/>
      <x:c r="N260" s="68"/>
      <x:c r="O260" s="68"/>
      <x:c r="P260" s="68"/>
      <x:c r="Q260" s="68"/>
      <x:c r="R260" s="68"/>
      <x:c r="S260" s="68"/>
      <x:c r="T260" s="68"/>
      <x:c r="U260" s="68"/>
      <x:c r="V260" s="68"/>
      <x:c r="W260" s="68"/>
      <x:c r="X260" s="68"/>
      <x:c r="Y260" s="68"/>
      <x:c r="Z260" s="68"/>
    </x:row>
    <x:row r="261">
      <x:c r="A261" s="68"/>
      <x:c r="B261" s="68"/>
      <x:c r="C261" s="68"/>
      <x:c r="D261" s="68"/>
      <x:c r="E261" s="68"/>
      <x:c r="F261" s="68"/>
      <x:c r="G261" s="68"/>
      <x:c r="H261" s="68"/>
      <x:c r="I261" s="68"/>
      <x:c r="J261" s="68"/>
      <x:c r="K261" s="68"/>
      <x:c r="L261" s="68"/>
      <x:c r="M261" s="68"/>
      <x:c r="N261" s="68"/>
      <x:c r="O261" s="68"/>
      <x:c r="P261" s="68"/>
      <x:c r="Q261" s="68"/>
      <x:c r="R261" s="68"/>
      <x:c r="S261" s="68"/>
      <x:c r="T261" s="68"/>
      <x:c r="U261" s="68"/>
      <x:c r="V261" s="68"/>
      <x:c r="W261" s="68"/>
      <x:c r="X261" s="68"/>
      <x:c r="Y261" s="68"/>
      <x:c r="Z261" s="68"/>
    </x:row>
    <x:row r="262">
      <x:c r="A262" s="68"/>
      <x:c r="B262" s="68"/>
      <x:c r="C262" s="68"/>
      <x:c r="D262" s="68"/>
      <x:c r="E262" s="68"/>
      <x:c r="F262" s="68"/>
      <x:c r="G262" s="68"/>
      <x:c r="H262" s="68"/>
      <x:c r="I262" s="68"/>
      <x:c r="J262" s="68"/>
      <x:c r="K262" s="68"/>
      <x:c r="L262" s="68"/>
      <x:c r="M262" s="68"/>
      <x:c r="N262" s="68"/>
      <x:c r="O262" s="68"/>
      <x:c r="P262" s="68"/>
      <x:c r="Q262" s="68"/>
      <x:c r="R262" s="68"/>
      <x:c r="S262" s="68"/>
      <x:c r="T262" s="68"/>
      <x:c r="U262" s="68"/>
      <x:c r="V262" s="68"/>
      <x:c r="W262" s="68"/>
      <x:c r="X262" s="68"/>
      <x:c r="Y262" s="68"/>
      <x:c r="Z262" s="68"/>
    </x:row>
    <x:row r="263">
      <x:c r="A263" s="68"/>
      <x:c r="B263" s="68"/>
      <x:c r="C263" s="68"/>
      <x:c r="D263" s="68"/>
      <x:c r="E263" s="68"/>
      <x:c r="F263" s="68"/>
      <x:c r="G263" s="68"/>
      <x:c r="H263" s="68"/>
      <x:c r="I263" s="68"/>
      <x:c r="J263" s="68"/>
      <x:c r="K263" s="68"/>
      <x:c r="L263" s="68"/>
      <x:c r="M263" s="68"/>
      <x:c r="N263" s="68"/>
      <x:c r="O263" s="68"/>
      <x:c r="P263" s="68"/>
      <x:c r="Q263" s="68"/>
      <x:c r="R263" s="68"/>
      <x:c r="S263" s="68"/>
      <x:c r="T263" s="68"/>
      <x:c r="U263" s="68"/>
      <x:c r="V263" s="68"/>
      <x:c r="W263" s="68"/>
      <x:c r="X263" s="68"/>
      <x:c r="Y263" s="68"/>
      <x:c r="Z263" s="68"/>
    </x:row>
    <x:row r="264">
      <x:c r="A264" s="68"/>
      <x:c r="B264" s="68"/>
      <x:c r="C264" s="68"/>
      <x:c r="D264" s="68"/>
      <x:c r="E264" s="68"/>
      <x:c r="F264" s="68"/>
      <x:c r="G264" s="68"/>
      <x:c r="H264" s="68"/>
      <x:c r="I264" s="68"/>
      <x:c r="J264" s="68"/>
      <x:c r="K264" s="68"/>
      <x:c r="L264" s="68"/>
      <x:c r="M264" s="68"/>
      <x:c r="N264" s="68"/>
      <x:c r="O264" s="68"/>
      <x:c r="P264" s="68"/>
      <x:c r="Q264" s="68"/>
      <x:c r="R264" s="68"/>
      <x:c r="S264" s="68"/>
      <x:c r="T264" s="68"/>
      <x:c r="U264" s="68"/>
      <x:c r="V264" s="68"/>
      <x:c r="W264" s="68"/>
      <x:c r="X264" s="68"/>
      <x:c r="Y264" s="68"/>
      <x:c r="Z264" s="68"/>
    </x:row>
    <x:row r="265">
      <x:c r="A265" s="68"/>
      <x:c r="B265" s="68"/>
      <x:c r="C265" s="68"/>
      <x:c r="D265" s="68"/>
      <x:c r="E265" s="68"/>
      <x:c r="F265" s="68"/>
      <x:c r="G265" s="68"/>
      <x:c r="H265" s="68"/>
      <x:c r="I265" s="68"/>
      <x:c r="J265" s="68"/>
      <x:c r="K265" s="68"/>
      <x:c r="L265" s="68"/>
      <x:c r="M265" s="68"/>
      <x:c r="N265" s="68"/>
      <x:c r="O265" s="68"/>
      <x:c r="P265" s="68"/>
      <x:c r="Q265" s="68"/>
      <x:c r="R265" s="68"/>
      <x:c r="S265" s="68"/>
      <x:c r="T265" s="68"/>
      <x:c r="U265" s="68"/>
      <x:c r="V265" s="68"/>
      <x:c r="W265" s="68"/>
      <x:c r="X265" s="68"/>
      <x:c r="Y265" s="68"/>
      <x:c r="Z265" s="68"/>
    </x:row>
    <x:row r="266">
      <x:c r="A266" s="68"/>
      <x:c r="B266" s="68"/>
      <x:c r="C266" s="68"/>
      <x:c r="D266" s="68"/>
      <x:c r="E266" s="68"/>
      <x:c r="F266" s="68"/>
      <x:c r="G266" s="68"/>
      <x:c r="H266" s="68"/>
      <x:c r="I266" s="68"/>
      <x:c r="J266" s="68"/>
      <x:c r="K266" s="68"/>
      <x:c r="L266" s="68"/>
      <x:c r="M266" s="68"/>
      <x:c r="N266" s="68"/>
      <x:c r="O266" s="68"/>
      <x:c r="P266" s="68"/>
      <x:c r="Q266" s="68"/>
      <x:c r="R266" s="68"/>
      <x:c r="S266" s="68"/>
      <x:c r="T266" s="68"/>
      <x:c r="U266" s="68"/>
      <x:c r="V266" s="68"/>
      <x:c r="W266" s="68"/>
      <x:c r="X266" s="68"/>
      <x:c r="Y266" s="68"/>
      <x:c r="Z266" s="68"/>
    </x:row>
    <x:row r="267">
      <x:c r="A267" s="68"/>
      <x:c r="B267" s="68"/>
      <x:c r="C267" s="68"/>
      <x:c r="D267" s="68"/>
      <x:c r="E267" s="68"/>
      <x:c r="F267" s="68"/>
      <x:c r="G267" s="68"/>
      <x:c r="H267" s="68"/>
      <x:c r="I267" s="68"/>
      <x:c r="J267" s="68"/>
      <x:c r="K267" s="68"/>
      <x:c r="L267" s="68"/>
      <x:c r="M267" s="68"/>
      <x:c r="N267" s="68"/>
      <x:c r="O267" s="68"/>
      <x:c r="P267" s="68"/>
      <x:c r="Q267" s="68"/>
      <x:c r="R267" s="68"/>
      <x:c r="S267" s="68"/>
      <x:c r="T267" s="68"/>
      <x:c r="U267" s="68"/>
      <x:c r="V267" s="68"/>
      <x:c r="W267" s="68"/>
      <x:c r="X267" s="68"/>
      <x:c r="Y267" s="68"/>
      <x:c r="Z267" s="68"/>
    </x:row>
    <x:row r="268">
      <x:c r="A268" s="68"/>
      <x:c r="B268" s="68"/>
      <x:c r="C268" s="68"/>
      <x:c r="D268" s="68"/>
      <x:c r="E268" s="68"/>
      <x:c r="F268" s="68"/>
      <x:c r="G268" s="68"/>
      <x:c r="H268" s="68"/>
      <x:c r="I268" s="68"/>
      <x:c r="J268" s="68"/>
      <x:c r="K268" s="68"/>
      <x:c r="L268" s="68"/>
      <x:c r="M268" s="68"/>
      <x:c r="N268" s="68"/>
      <x:c r="O268" s="68"/>
      <x:c r="P268" s="68"/>
      <x:c r="Q268" s="68"/>
      <x:c r="R268" s="68"/>
      <x:c r="S268" s="68"/>
      <x:c r="T268" s="68"/>
      <x:c r="U268" s="68"/>
      <x:c r="V268" s="68"/>
      <x:c r="W268" s="68"/>
      <x:c r="X268" s="68"/>
      <x:c r="Y268" s="68"/>
      <x:c r="Z268" s="68"/>
    </x:row>
    <x:row r="269">
      <x:c r="A269" s="68"/>
      <x:c r="B269" s="68"/>
      <x:c r="C269" s="68"/>
      <x:c r="D269" s="68"/>
      <x:c r="E269" s="68"/>
      <x:c r="F269" s="68"/>
      <x:c r="G269" s="68"/>
      <x:c r="H269" s="68"/>
      <x:c r="I269" s="68"/>
      <x:c r="J269" s="68"/>
      <x:c r="K269" s="68"/>
      <x:c r="L269" s="68"/>
      <x:c r="M269" s="68"/>
      <x:c r="N269" s="68"/>
      <x:c r="O269" s="68"/>
      <x:c r="P269" s="68"/>
      <x:c r="Q269" s="68"/>
      <x:c r="R269" s="68"/>
      <x:c r="S269" s="68"/>
      <x:c r="T269" s="68"/>
      <x:c r="U269" s="68"/>
      <x:c r="V269" s="68"/>
      <x:c r="W269" s="68"/>
      <x:c r="X269" s="68"/>
      <x:c r="Y269" s="68"/>
      <x:c r="Z269" s="68"/>
    </x:row>
    <x:row r="270">
      <x:c r="A270" s="68"/>
      <x:c r="B270" s="68"/>
      <x:c r="C270" s="68"/>
      <x:c r="D270" s="68"/>
      <x:c r="E270" s="68"/>
      <x:c r="F270" s="68"/>
      <x:c r="G270" s="68"/>
      <x:c r="H270" s="68"/>
      <x:c r="I270" s="68"/>
      <x:c r="J270" s="68"/>
      <x:c r="K270" s="68"/>
      <x:c r="L270" s="68"/>
      <x:c r="M270" s="68"/>
      <x:c r="N270" s="68"/>
      <x:c r="O270" s="68"/>
      <x:c r="P270" s="68"/>
      <x:c r="Q270" s="68"/>
      <x:c r="R270" s="68"/>
      <x:c r="S270" s="68"/>
      <x:c r="T270" s="68"/>
      <x:c r="U270" s="68"/>
      <x:c r="V270" s="68"/>
      <x:c r="W270" s="68"/>
      <x:c r="X270" s="68"/>
      <x:c r="Y270" s="68"/>
      <x:c r="Z270" s="68"/>
    </x:row>
    <x:row r="271">
      <x:c r="A271" s="68"/>
      <x:c r="B271" s="68"/>
      <x:c r="C271" s="68"/>
      <x:c r="D271" s="68"/>
      <x:c r="E271" s="68"/>
      <x:c r="F271" s="68"/>
      <x:c r="G271" s="68"/>
      <x:c r="H271" s="68"/>
      <x:c r="I271" s="68"/>
      <x:c r="J271" s="68"/>
      <x:c r="K271" s="68"/>
      <x:c r="L271" s="68"/>
      <x:c r="M271" s="68"/>
      <x:c r="N271" s="68"/>
      <x:c r="O271" s="68"/>
      <x:c r="P271" s="68"/>
      <x:c r="Q271" s="68"/>
      <x:c r="R271" s="68"/>
      <x:c r="S271" s="68"/>
      <x:c r="T271" s="68"/>
      <x:c r="U271" s="68"/>
      <x:c r="V271" s="68"/>
      <x:c r="W271" s="68"/>
      <x:c r="X271" s="68"/>
      <x:c r="Y271" s="68"/>
      <x:c r="Z271" s="68"/>
    </x:row>
    <x:row r="272">
      <x:c r="A272" s="68"/>
      <x:c r="B272" s="68"/>
      <x:c r="C272" s="68"/>
      <x:c r="D272" s="68"/>
      <x:c r="E272" s="68"/>
      <x:c r="F272" s="68"/>
      <x:c r="G272" s="68"/>
      <x:c r="H272" s="68"/>
      <x:c r="I272" s="68"/>
      <x:c r="J272" s="68"/>
      <x:c r="K272" s="68"/>
      <x:c r="L272" s="68"/>
      <x:c r="M272" s="68"/>
      <x:c r="N272" s="68"/>
      <x:c r="O272" s="68"/>
      <x:c r="P272" s="68"/>
      <x:c r="Q272" s="68"/>
      <x:c r="R272" s="68"/>
      <x:c r="S272" s="68"/>
      <x:c r="T272" s="68"/>
      <x:c r="U272" s="68"/>
      <x:c r="V272" s="68"/>
      <x:c r="W272" s="68"/>
      <x:c r="X272" s="68"/>
      <x:c r="Y272" s="68"/>
      <x:c r="Z272" s="68"/>
    </x:row>
    <x:row r="273">
      <x:c r="A273" s="68"/>
      <x:c r="B273" s="68"/>
      <x:c r="C273" s="68"/>
      <x:c r="D273" s="68"/>
      <x:c r="E273" s="68"/>
      <x:c r="F273" s="68"/>
      <x:c r="G273" s="68"/>
      <x:c r="H273" s="68"/>
      <x:c r="I273" s="68"/>
      <x:c r="J273" s="68"/>
      <x:c r="K273" s="68"/>
      <x:c r="L273" s="68"/>
      <x:c r="M273" s="68"/>
      <x:c r="N273" s="68"/>
      <x:c r="O273" s="68"/>
      <x:c r="P273" s="68"/>
      <x:c r="Q273" s="68"/>
      <x:c r="R273" s="68"/>
      <x:c r="S273" s="68"/>
      <x:c r="T273" s="68"/>
      <x:c r="U273" s="68"/>
      <x:c r="V273" s="68"/>
      <x:c r="W273" s="68"/>
      <x:c r="X273" s="68"/>
      <x:c r="Y273" s="68"/>
      <x:c r="Z273" s="68"/>
    </x:row>
    <x:row r="274">
      <x:c r="A274" s="68"/>
      <x:c r="B274" s="68"/>
      <x:c r="C274" s="68"/>
      <x:c r="D274" s="68"/>
      <x:c r="E274" s="68"/>
      <x:c r="F274" s="68"/>
      <x:c r="G274" s="68"/>
      <x:c r="H274" s="68"/>
      <x:c r="I274" s="68"/>
      <x:c r="J274" s="68"/>
      <x:c r="K274" s="68"/>
      <x:c r="L274" s="68"/>
      <x:c r="M274" s="68"/>
      <x:c r="N274" s="68"/>
      <x:c r="O274" s="68"/>
      <x:c r="P274" s="68"/>
      <x:c r="Q274" s="68"/>
      <x:c r="R274" s="68"/>
      <x:c r="S274" s="68"/>
      <x:c r="T274" s="68"/>
      <x:c r="U274" s="68"/>
      <x:c r="V274" s="68"/>
      <x:c r="W274" s="68"/>
      <x:c r="X274" s="68"/>
      <x:c r="Y274" s="68"/>
      <x:c r="Z274" s="68"/>
    </x:row>
    <x:row r="275">
      <x:c r="A275" s="68"/>
      <x:c r="B275" s="68"/>
      <x:c r="C275" s="68"/>
      <x:c r="D275" s="68"/>
      <x:c r="E275" s="68"/>
      <x:c r="F275" s="68"/>
      <x:c r="G275" s="68"/>
      <x:c r="H275" s="68"/>
      <x:c r="I275" s="68"/>
      <x:c r="J275" s="68"/>
      <x:c r="K275" s="68"/>
      <x:c r="L275" s="68"/>
      <x:c r="M275" s="68"/>
      <x:c r="N275" s="68"/>
      <x:c r="O275" s="68"/>
      <x:c r="P275" s="68"/>
      <x:c r="Q275" s="68"/>
      <x:c r="R275" s="68"/>
      <x:c r="S275" s="68"/>
      <x:c r="T275" s="68"/>
      <x:c r="U275" s="68"/>
      <x:c r="V275" s="68"/>
      <x:c r="W275" s="68"/>
      <x:c r="X275" s="68"/>
      <x:c r="Y275" s="68"/>
      <x:c r="Z275" s="68"/>
    </x:row>
    <x:row r="276">
      <x:c r="A276" s="68"/>
      <x:c r="B276" s="68"/>
      <x:c r="C276" s="68"/>
      <x:c r="D276" s="68"/>
      <x:c r="E276" s="68"/>
      <x:c r="F276" s="68"/>
      <x:c r="G276" s="68"/>
      <x:c r="H276" s="68"/>
      <x:c r="I276" s="68"/>
      <x:c r="J276" s="68"/>
      <x:c r="K276" s="68"/>
      <x:c r="L276" s="68"/>
      <x:c r="M276" s="68"/>
      <x:c r="N276" s="68"/>
      <x:c r="O276" s="68"/>
      <x:c r="P276" s="68"/>
      <x:c r="Q276" s="68"/>
      <x:c r="R276" s="68"/>
      <x:c r="S276" s="68"/>
      <x:c r="T276" s="68"/>
      <x:c r="U276" s="68"/>
      <x:c r="V276" s="68"/>
      <x:c r="W276" s="68"/>
      <x:c r="X276" s="68"/>
      <x:c r="Y276" s="68"/>
      <x:c r="Z276" s="68"/>
    </x:row>
    <x:row r="277">
      <x:c r="A277" s="68"/>
      <x:c r="B277" s="68"/>
      <x:c r="C277" s="68"/>
      <x:c r="D277" s="68"/>
      <x:c r="E277" s="68"/>
      <x:c r="F277" s="68"/>
      <x:c r="G277" s="68"/>
      <x:c r="H277" s="68"/>
      <x:c r="I277" s="68"/>
      <x:c r="J277" s="68"/>
      <x:c r="K277" s="68"/>
      <x:c r="L277" s="68"/>
      <x:c r="M277" s="68"/>
      <x:c r="N277" s="68"/>
      <x:c r="O277" s="68"/>
      <x:c r="P277" s="68"/>
      <x:c r="Q277" s="68"/>
      <x:c r="R277" s="68"/>
      <x:c r="S277" s="68"/>
      <x:c r="T277" s="68"/>
      <x:c r="U277" s="68"/>
      <x:c r="V277" s="68"/>
      <x:c r="W277" s="68"/>
      <x:c r="X277" s="68"/>
      <x:c r="Y277" s="68"/>
      <x:c r="Z277" s="68"/>
    </x:row>
    <x:row r="278">
      <x:c r="A278" s="68"/>
      <x:c r="B278" s="68"/>
      <x:c r="C278" s="68"/>
      <x:c r="D278" s="68"/>
      <x:c r="E278" s="68"/>
      <x:c r="F278" s="68"/>
      <x:c r="G278" s="68"/>
      <x:c r="H278" s="68"/>
      <x:c r="I278" s="68"/>
      <x:c r="J278" s="68"/>
      <x:c r="K278" s="68"/>
      <x:c r="L278" s="68"/>
      <x:c r="M278" s="68"/>
      <x:c r="N278" s="68"/>
      <x:c r="O278" s="68"/>
      <x:c r="P278" s="68"/>
      <x:c r="Q278" s="68"/>
      <x:c r="R278" s="68"/>
      <x:c r="S278" s="68"/>
      <x:c r="T278" s="68"/>
      <x:c r="U278" s="68"/>
      <x:c r="V278" s="68"/>
      <x:c r="W278" s="68"/>
      <x:c r="X278" s="68"/>
      <x:c r="Y278" s="68"/>
      <x:c r="Z278" s="68"/>
    </x:row>
    <x:row r="279">
      <x:c r="A279" s="68"/>
      <x:c r="B279" s="68"/>
      <x:c r="C279" s="68"/>
      <x:c r="D279" s="68"/>
      <x:c r="E279" s="68"/>
      <x:c r="F279" s="68"/>
      <x:c r="G279" s="68"/>
      <x:c r="H279" s="68"/>
      <x:c r="I279" s="68"/>
      <x:c r="J279" s="68"/>
      <x:c r="K279" s="68"/>
      <x:c r="L279" s="68"/>
      <x:c r="M279" s="68"/>
      <x:c r="N279" s="68"/>
      <x:c r="O279" s="68"/>
      <x:c r="P279" s="68"/>
      <x:c r="Q279" s="68"/>
      <x:c r="R279" s="68"/>
      <x:c r="S279" s="68"/>
      <x:c r="T279" s="68"/>
      <x:c r="U279" s="68"/>
      <x:c r="V279" s="68"/>
      <x:c r="W279" s="68"/>
      <x:c r="X279" s="68"/>
      <x:c r="Y279" s="68"/>
      <x:c r="Z279" s="68"/>
    </x:row>
    <x:row r="280">
      <x:c r="A280" s="68"/>
      <x:c r="B280" s="68"/>
      <x:c r="C280" s="68"/>
      <x:c r="D280" s="68"/>
      <x:c r="E280" s="68"/>
      <x:c r="F280" s="68"/>
      <x:c r="G280" s="68"/>
      <x:c r="H280" s="68"/>
      <x:c r="I280" s="68"/>
      <x:c r="J280" s="68"/>
      <x:c r="K280" s="68"/>
      <x:c r="L280" s="68"/>
      <x:c r="M280" s="68"/>
      <x:c r="N280" s="68"/>
      <x:c r="O280" s="68"/>
      <x:c r="P280" s="68"/>
      <x:c r="Q280" s="68"/>
      <x:c r="R280" s="68"/>
      <x:c r="S280" s="68"/>
      <x:c r="T280" s="68"/>
      <x:c r="U280" s="68"/>
      <x:c r="V280" s="68"/>
      <x:c r="W280" s="68"/>
      <x:c r="X280" s="68"/>
      <x:c r="Y280" s="68"/>
      <x:c r="Z280" s="68"/>
    </x:row>
    <x:row r="281">
      <x:c r="A281" s="68"/>
      <x:c r="B281" s="68"/>
      <x:c r="C281" s="68"/>
      <x:c r="D281" s="68"/>
      <x:c r="E281" s="68"/>
      <x:c r="F281" s="68"/>
      <x:c r="G281" s="68"/>
      <x:c r="H281" s="68"/>
      <x:c r="I281" s="68"/>
      <x:c r="J281" s="68"/>
      <x:c r="K281" s="68"/>
      <x:c r="L281" s="68"/>
      <x:c r="M281" s="68"/>
      <x:c r="N281" s="68"/>
      <x:c r="O281" s="68"/>
      <x:c r="P281" s="68"/>
      <x:c r="Q281" s="68"/>
      <x:c r="R281" s="68"/>
      <x:c r="S281" s="68"/>
      <x:c r="T281" s="68"/>
      <x:c r="U281" s="68"/>
      <x:c r="V281" s="68"/>
      <x:c r="W281" s="68"/>
      <x:c r="X281" s="68"/>
      <x:c r="Y281" s="68"/>
      <x:c r="Z281" s="68"/>
    </x:row>
    <x:row r="282">
      <x:c r="A282" s="68"/>
      <x:c r="B282" s="68"/>
      <x:c r="C282" s="68"/>
      <x:c r="D282" s="68"/>
      <x:c r="E282" s="68"/>
      <x:c r="F282" s="68"/>
      <x:c r="G282" s="68"/>
      <x:c r="H282" s="68"/>
      <x:c r="I282" s="68"/>
      <x:c r="J282" s="68"/>
      <x:c r="K282" s="68"/>
      <x:c r="L282" s="68"/>
      <x:c r="M282" s="68"/>
      <x:c r="N282" s="68"/>
      <x:c r="O282" s="68"/>
      <x:c r="P282" s="68"/>
      <x:c r="Q282" s="68"/>
      <x:c r="R282" s="68"/>
      <x:c r="S282" s="68"/>
      <x:c r="T282" s="68"/>
      <x:c r="U282" s="68"/>
      <x:c r="V282" s="68"/>
      <x:c r="W282" s="68"/>
      <x:c r="X282" s="68"/>
      <x:c r="Y282" s="68"/>
      <x:c r="Z282" s="68"/>
    </x:row>
    <x:row r="283">
      <x:c r="A283" s="68"/>
      <x:c r="B283" s="68"/>
      <x:c r="C283" s="68"/>
      <x:c r="D283" s="68"/>
      <x:c r="E283" s="68"/>
      <x:c r="F283" s="68"/>
      <x:c r="G283" s="68"/>
      <x:c r="H283" s="68"/>
      <x:c r="I283" s="68"/>
      <x:c r="J283" s="68"/>
      <x:c r="K283" s="68"/>
      <x:c r="L283" s="68"/>
      <x:c r="M283" s="68"/>
      <x:c r="N283" s="68"/>
      <x:c r="O283" s="68"/>
      <x:c r="P283" s="68"/>
      <x:c r="Q283" s="68"/>
      <x:c r="R283" s="68"/>
      <x:c r="S283" s="68"/>
      <x:c r="T283" s="68"/>
      <x:c r="U283" s="68"/>
      <x:c r="V283" s="68"/>
      <x:c r="W283" s="68"/>
      <x:c r="X283" s="68"/>
      <x:c r="Y283" s="68"/>
      <x:c r="Z283" s="68"/>
    </x:row>
    <x:row r="284">
      <x:c r="A284" s="68"/>
      <x:c r="B284" s="68"/>
      <x:c r="C284" s="68"/>
      <x:c r="D284" s="68"/>
      <x:c r="E284" s="68"/>
      <x:c r="F284" s="68"/>
      <x:c r="G284" s="68"/>
      <x:c r="H284" s="68"/>
      <x:c r="I284" s="68"/>
      <x:c r="J284" s="68"/>
      <x:c r="K284" s="68"/>
      <x:c r="L284" s="68"/>
      <x:c r="M284" s="68"/>
      <x:c r="N284" s="68"/>
      <x:c r="O284" s="68"/>
      <x:c r="P284" s="68"/>
      <x:c r="Q284" s="68"/>
      <x:c r="R284" s="68"/>
      <x:c r="S284" s="68"/>
      <x:c r="T284" s="68"/>
      <x:c r="U284" s="68"/>
      <x:c r="V284" s="68"/>
      <x:c r="W284" s="68"/>
      <x:c r="X284" s="68"/>
      <x:c r="Y284" s="68"/>
      <x:c r="Z284" s="68"/>
    </x:row>
    <x:row r="285">
      <x:c r="A285" s="68"/>
      <x:c r="B285" s="68"/>
      <x:c r="C285" s="68"/>
      <x:c r="D285" s="68"/>
      <x:c r="E285" s="68"/>
      <x:c r="F285" s="68"/>
      <x:c r="G285" s="68"/>
      <x:c r="H285" s="68"/>
      <x:c r="I285" s="68"/>
      <x:c r="J285" s="68"/>
      <x:c r="K285" s="68"/>
      <x:c r="L285" s="68"/>
      <x:c r="M285" s="68"/>
      <x:c r="N285" s="68"/>
      <x:c r="O285" s="68"/>
      <x:c r="P285" s="68"/>
      <x:c r="Q285" s="68"/>
      <x:c r="R285" s="68"/>
      <x:c r="S285" s="68"/>
      <x:c r="T285" s="68"/>
      <x:c r="U285" s="68"/>
      <x:c r="V285" s="68"/>
      <x:c r="W285" s="68"/>
      <x:c r="X285" s="68"/>
      <x:c r="Y285" s="68"/>
      <x:c r="Z285" s="68"/>
    </x:row>
    <x:row r="286">
      <x:c r="A286" s="68"/>
      <x:c r="B286" s="68"/>
      <x:c r="C286" s="68"/>
      <x:c r="D286" s="68"/>
      <x:c r="E286" s="68"/>
      <x:c r="F286" s="68"/>
      <x:c r="G286" s="68"/>
      <x:c r="H286" s="68"/>
      <x:c r="I286" s="68"/>
      <x:c r="J286" s="68"/>
      <x:c r="K286" s="68"/>
      <x:c r="L286" s="68"/>
      <x:c r="M286" s="68"/>
      <x:c r="N286" s="68"/>
      <x:c r="O286" s="68"/>
      <x:c r="P286" s="68"/>
      <x:c r="Q286" s="68"/>
      <x:c r="R286" s="68"/>
      <x:c r="S286" s="68"/>
      <x:c r="T286" s="68"/>
      <x:c r="U286" s="68"/>
      <x:c r="V286" s="68"/>
      <x:c r="W286" s="68"/>
      <x:c r="X286" s="68"/>
      <x:c r="Y286" s="68"/>
      <x:c r="Z286" s="68"/>
    </x:row>
    <x:row r="287">
      <x:c r="A287" s="68"/>
      <x:c r="B287" s="68"/>
      <x:c r="C287" s="68"/>
      <x:c r="D287" s="68"/>
      <x:c r="E287" s="68"/>
      <x:c r="F287" s="68"/>
      <x:c r="G287" s="68"/>
      <x:c r="H287" s="68"/>
      <x:c r="I287" s="68"/>
      <x:c r="J287" s="68"/>
      <x:c r="K287" s="68"/>
      <x:c r="L287" s="68"/>
      <x:c r="M287" s="68"/>
      <x:c r="N287" s="68"/>
      <x:c r="O287" s="68"/>
      <x:c r="P287" s="68"/>
      <x:c r="Q287" s="68"/>
      <x:c r="R287" s="68"/>
      <x:c r="S287" s="68"/>
      <x:c r="T287" s="68"/>
      <x:c r="U287" s="68"/>
      <x:c r="V287" s="68"/>
      <x:c r="W287" s="68"/>
      <x:c r="X287" s="68"/>
      <x:c r="Y287" s="68"/>
      <x:c r="Z287" s="68"/>
    </x:row>
    <x:row r="288">
      <x:c r="A288" s="68"/>
      <x:c r="B288" s="68"/>
      <x:c r="C288" s="68"/>
      <x:c r="D288" s="68"/>
      <x:c r="E288" s="68"/>
      <x:c r="F288" s="68"/>
      <x:c r="G288" s="68"/>
      <x:c r="H288" s="68"/>
      <x:c r="I288" s="68"/>
      <x:c r="J288" s="68"/>
      <x:c r="K288" s="68"/>
      <x:c r="L288" s="68"/>
      <x:c r="M288" s="68"/>
      <x:c r="N288" s="68"/>
      <x:c r="O288" s="68"/>
      <x:c r="P288" s="68"/>
      <x:c r="Q288" s="68"/>
      <x:c r="R288" s="68"/>
      <x:c r="S288" s="68"/>
      <x:c r="T288" s="68"/>
      <x:c r="U288" s="68"/>
      <x:c r="V288" s="68"/>
      <x:c r="W288" s="68"/>
      <x:c r="X288" s="68"/>
      <x:c r="Y288" s="68"/>
      <x:c r="Z288" s="68"/>
    </x:row>
    <x:row r="289">
      <x:c r="A289" s="68"/>
      <x:c r="B289" s="68"/>
      <x:c r="C289" s="68"/>
      <x:c r="D289" s="68"/>
      <x:c r="E289" s="68"/>
      <x:c r="F289" s="68"/>
      <x:c r="G289" s="68"/>
      <x:c r="H289" s="68"/>
      <x:c r="I289" s="68"/>
      <x:c r="J289" s="68"/>
      <x:c r="K289" s="68"/>
      <x:c r="L289" s="68"/>
      <x:c r="M289" s="68"/>
      <x:c r="N289" s="68"/>
      <x:c r="O289" s="68"/>
      <x:c r="P289" s="68"/>
      <x:c r="Q289" s="68"/>
      <x:c r="R289" s="68"/>
      <x:c r="S289" s="68"/>
      <x:c r="T289" s="68"/>
      <x:c r="U289" s="68"/>
      <x:c r="V289" s="68"/>
      <x:c r="W289" s="68"/>
      <x:c r="X289" s="68"/>
      <x:c r="Y289" s="68"/>
      <x:c r="Z289" s="68"/>
    </x:row>
    <x:row r="290">
      <x:c r="A290" s="68"/>
      <x:c r="B290" s="68"/>
      <x:c r="C290" s="68"/>
      <x:c r="D290" s="68"/>
      <x:c r="E290" s="68"/>
      <x:c r="F290" s="68"/>
      <x:c r="G290" s="68"/>
      <x:c r="H290" s="68"/>
      <x:c r="I290" s="68"/>
      <x:c r="J290" s="68"/>
      <x:c r="K290" s="68"/>
      <x:c r="L290" s="68"/>
      <x:c r="M290" s="68"/>
      <x:c r="N290" s="68"/>
      <x:c r="O290" s="68"/>
      <x:c r="P290" s="68"/>
      <x:c r="Q290" s="68"/>
      <x:c r="R290" s="68"/>
      <x:c r="S290" s="68"/>
      <x:c r="T290" s="68"/>
      <x:c r="U290" s="68"/>
      <x:c r="V290" s="68"/>
      <x:c r="W290" s="68"/>
      <x:c r="X290" s="68"/>
      <x:c r="Y290" s="68"/>
      <x:c r="Z290" s="68"/>
    </x:row>
    <x:row r="291">
      <x:c r="A291" s="68"/>
      <x:c r="B291" s="68"/>
      <x:c r="C291" s="68"/>
      <x:c r="D291" s="68"/>
      <x:c r="E291" s="68"/>
      <x:c r="F291" s="68"/>
      <x:c r="G291" s="68"/>
      <x:c r="H291" s="68"/>
      <x:c r="I291" s="68"/>
      <x:c r="J291" s="68"/>
      <x:c r="K291" s="68"/>
      <x:c r="L291" s="68"/>
      <x:c r="M291" s="68"/>
      <x:c r="N291" s="68"/>
      <x:c r="O291" s="68"/>
      <x:c r="P291" s="68"/>
      <x:c r="Q291" s="68"/>
      <x:c r="R291" s="68"/>
      <x:c r="S291" s="68"/>
      <x:c r="T291" s="68"/>
      <x:c r="U291" s="68"/>
      <x:c r="V291" s="68"/>
      <x:c r="W291" s="68"/>
      <x:c r="X291" s="68"/>
      <x:c r="Y291" s="68"/>
      <x:c r="Z291" s="68"/>
    </x:row>
    <x:row r="292">
      <x:c r="A292" s="68"/>
      <x:c r="B292" s="68"/>
      <x:c r="C292" s="68"/>
      <x:c r="D292" s="68"/>
      <x:c r="E292" s="68"/>
      <x:c r="F292" s="68"/>
      <x:c r="G292" s="68"/>
      <x:c r="H292" s="68"/>
      <x:c r="I292" s="68"/>
      <x:c r="J292" s="68"/>
      <x:c r="K292" s="68"/>
      <x:c r="L292" s="68"/>
      <x:c r="M292" s="68"/>
      <x:c r="N292" s="68"/>
      <x:c r="O292" s="68"/>
      <x:c r="P292" s="68"/>
      <x:c r="Q292" s="68"/>
      <x:c r="R292" s="68"/>
      <x:c r="S292" s="68"/>
      <x:c r="T292" s="68"/>
      <x:c r="U292" s="68"/>
      <x:c r="V292" s="68"/>
      <x:c r="W292" s="68"/>
      <x:c r="X292" s="68"/>
      <x:c r="Y292" s="68"/>
      <x:c r="Z292" s="68"/>
    </x:row>
    <x:row r="293">
      <x:c r="A293" s="68"/>
      <x:c r="B293" s="68"/>
      <x:c r="C293" s="68"/>
      <x:c r="D293" s="68"/>
      <x:c r="E293" s="68"/>
      <x:c r="F293" s="68"/>
      <x:c r="G293" s="68"/>
      <x:c r="H293" s="68"/>
      <x:c r="I293" s="68"/>
      <x:c r="J293" s="68"/>
      <x:c r="K293" s="68"/>
      <x:c r="L293" s="68"/>
      <x:c r="M293" s="68"/>
      <x:c r="N293" s="68"/>
      <x:c r="O293" s="68"/>
      <x:c r="P293" s="68"/>
      <x:c r="Q293" s="68"/>
      <x:c r="R293" s="68"/>
      <x:c r="S293" s="68"/>
      <x:c r="T293" s="68"/>
      <x:c r="U293" s="68"/>
      <x:c r="V293" s="68"/>
      <x:c r="W293" s="68"/>
      <x:c r="X293" s="68"/>
      <x:c r="Y293" s="68"/>
      <x:c r="Z293" s="68"/>
    </x:row>
    <x:row r="294">
      <x:c r="A294" s="68"/>
      <x:c r="B294" s="68"/>
      <x:c r="C294" s="68"/>
      <x:c r="D294" s="68"/>
      <x:c r="E294" s="68"/>
      <x:c r="F294" s="68"/>
      <x:c r="G294" s="68"/>
      <x:c r="H294" s="68"/>
      <x:c r="I294" s="68"/>
      <x:c r="J294" s="68"/>
      <x:c r="K294" s="68"/>
      <x:c r="L294" s="68"/>
      <x:c r="M294" s="68"/>
      <x:c r="N294" s="68"/>
      <x:c r="O294" s="68"/>
      <x:c r="P294" s="68"/>
      <x:c r="Q294" s="68"/>
      <x:c r="R294" s="68"/>
      <x:c r="S294" s="68"/>
      <x:c r="T294" s="68"/>
      <x:c r="U294" s="68"/>
      <x:c r="V294" s="68"/>
      <x:c r="W294" s="68"/>
      <x:c r="X294" s="68"/>
      <x:c r="Y294" s="68"/>
      <x:c r="Z294" s="68"/>
    </x:row>
    <x:row r="295">
      <x:c r="A295" s="68"/>
      <x:c r="B295" s="68"/>
      <x:c r="C295" s="68"/>
      <x:c r="D295" s="68"/>
      <x:c r="E295" s="68"/>
      <x:c r="F295" s="68"/>
      <x:c r="G295" s="68"/>
      <x:c r="H295" s="68"/>
      <x:c r="I295" s="68"/>
      <x:c r="J295" s="68"/>
      <x:c r="K295" s="68"/>
      <x:c r="L295" s="68"/>
      <x:c r="M295" s="68"/>
      <x:c r="N295" s="68"/>
      <x:c r="O295" s="68"/>
      <x:c r="P295" s="68"/>
      <x:c r="Q295" s="68"/>
      <x:c r="R295" s="68"/>
      <x:c r="S295" s="68"/>
      <x:c r="T295" s="68"/>
      <x:c r="U295" s="68"/>
      <x:c r="V295" s="68"/>
      <x:c r="W295" s="68"/>
      <x:c r="X295" s="68"/>
      <x:c r="Y295" s="68"/>
      <x:c r="Z295" s="68"/>
    </x:row>
    <x:row r="296">
      <x:c r="A296" s="68"/>
      <x:c r="B296" s="68"/>
      <x:c r="C296" s="68"/>
      <x:c r="D296" s="68"/>
      <x:c r="E296" s="68"/>
      <x:c r="F296" s="68"/>
      <x:c r="G296" s="68"/>
      <x:c r="H296" s="68"/>
      <x:c r="I296" s="68"/>
      <x:c r="J296" s="68"/>
      <x:c r="K296" s="68"/>
      <x:c r="L296" s="68"/>
      <x:c r="M296" s="68"/>
      <x:c r="N296" s="68"/>
      <x:c r="O296" s="68"/>
      <x:c r="P296" s="68"/>
      <x:c r="Q296" s="68"/>
      <x:c r="R296" s="68"/>
      <x:c r="S296" s="68"/>
      <x:c r="T296" s="68"/>
      <x:c r="U296" s="68"/>
      <x:c r="V296" s="68"/>
      <x:c r="W296" s="68"/>
      <x:c r="X296" s="68"/>
      <x:c r="Y296" s="68"/>
      <x:c r="Z296" s="68"/>
    </x:row>
    <x:row r="297">
      <x:c r="A297" s="68"/>
      <x:c r="B297" s="68"/>
      <x:c r="C297" s="68"/>
      <x:c r="D297" s="68"/>
      <x:c r="E297" s="68"/>
      <x:c r="F297" s="68"/>
      <x:c r="G297" s="68"/>
      <x:c r="H297" s="68"/>
      <x:c r="I297" s="68"/>
      <x:c r="J297" s="68"/>
      <x:c r="K297" s="68"/>
      <x:c r="L297" s="68"/>
      <x:c r="M297" s="68"/>
      <x:c r="N297" s="68"/>
      <x:c r="O297" s="68"/>
      <x:c r="P297" s="68"/>
      <x:c r="Q297" s="68"/>
      <x:c r="R297" s="68"/>
      <x:c r="S297" s="68"/>
      <x:c r="T297" s="68"/>
      <x:c r="U297" s="68"/>
      <x:c r="V297" s="68"/>
      <x:c r="W297" s="68"/>
      <x:c r="X297" s="68"/>
      <x:c r="Y297" s="68"/>
      <x:c r="Z297" s="68"/>
    </x:row>
    <x:row r="298">
      <x:c r="A298" s="68"/>
      <x:c r="B298" s="68"/>
      <x:c r="C298" s="68"/>
      <x:c r="D298" s="68"/>
      <x:c r="E298" s="68"/>
      <x:c r="F298" s="68"/>
      <x:c r="G298" s="68"/>
      <x:c r="H298" s="68"/>
      <x:c r="I298" s="68"/>
      <x:c r="J298" s="68"/>
      <x:c r="K298" s="68"/>
      <x:c r="L298" s="68"/>
      <x:c r="M298" s="68"/>
      <x:c r="N298" s="68"/>
      <x:c r="O298" s="68"/>
      <x:c r="P298" s="68"/>
      <x:c r="Q298" s="68"/>
      <x:c r="R298" s="68"/>
      <x:c r="S298" s="68"/>
      <x:c r="T298" s="68"/>
      <x:c r="U298" s="68"/>
      <x:c r="V298" s="68"/>
      <x:c r="W298" s="68"/>
      <x:c r="X298" s="68"/>
      <x:c r="Y298" s="68"/>
      <x:c r="Z298" s="68"/>
    </x:row>
    <x:row r="299">
      <x:c r="A299" s="68"/>
      <x:c r="B299" s="68"/>
      <x:c r="C299" s="68"/>
      <x:c r="D299" s="68"/>
      <x:c r="E299" s="68"/>
      <x:c r="F299" s="68"/>
      <x:c r="G299" s="68"/>
      <x:c r="H299" s="68"/>
      <x:c r="I299" s="68"/>
      <x:c r="J299" s="68"/>
      <x:c r="K299" s="68"/>
      <x:c r="L299" s="68"/>
      <x:c r="M299" s="68"/>
      <x:c r="N299" s="68"/>
      <x:c r="O299" s="68"/>
      <x:c r="P299" s="68"/>
      <x:c r="Q299" s="68"/>
      <x:c r="R299" s="68"/>
      <x:c r="S299" s="68"/>
      <x:c r="T299" s="68"/>
      <x:c r="U299" s="68"/>
      <x:c r="V299" s="68"/>
      <x:c r="W299" s="68"/>
      <x:c r="X299" s="68"/>
      <x:c r="Y299" s="68"/>
      <x:c r="Z299" s="68"/>
    </x:row>
    <x:row r="300">
      <x:c r="A300" s="68"/>
      <x:c r="B300" s="68"/>
      <x:c r="C300" s="68"/>
      <x:c r="D300" s="68"/>
      <x:c r="E300" s="68"/>
      <x:c r="F300" s="68"/>
      <x:c r="G300" s="68"/>
      <x:c r="H300" s="68"/>
      <x:c r="I300" s="68"/>
      <x:c r="J300" s="68"/>
      <x:c r="K300" s="68"/>
      <x:c r="L300" s="68"/>
      <x:c r="M300" s="68"/>
      <x:c r="N300" s="68"/>
      <x:c r="O300" s="68"/>
      <x:c r="P300" s="68"/>
      <x:c r="Q300" s="68"/>
      <x:c r="R300" s="68"/>
      <x:c r="S300" s="68"/>
      <x:c r="T300" s="68"/>
      <x:c r="U300" s="68"/>
      <x:c r="V300" s="68"/>
      <x:c r="W300" s="68"/>
      <x:c r="X300" s="68"/>
      <x:c r="Y300" s="68"/>
      <x:c r="Z300" s="68"/>
    </x:row>
    <x:row r="301">
      <x:c r="A301" s="68"/>
      <x:c r="B301" s="68"/>
      <x:c r="C301" s="68"/>
      <x:c r="D301" s="68"/>
      <x:c r="E301" s="68"/>
      <x:c r="F301" s="68"/>
      <x:c r="G301" s="68"/>
      <x:c r="H301" s="68"/>
      <x:c r="I301" s="68"/>
      <x:c r="J301" s="68"/>
      <x:c r="K301" s="68"/>
      <x:c r="L301" s="68"/>
      <x:c r="M301" s="68"/>
      <x:c r="N301" s="68"/>
      <x:c r="O301" s="68"/>
      <x:c r="P301" s="68"/>
      <x:c r="Q301" s="68"/>
      <x:c r="R301" s="68"/>
      <x:c r="S301" s="68"/>
      <x:c r="T301" s="68"/>
      <x:c r="U301" s="68"/>
      <x:c r="V301" s="68"/>
      <x:c r="W301" s="68"/>
      <x:c r="X301" s="68"/>
      <x:c r="Y301" s="68"/>
      <x:c r="Z301" s="68"/>
    </x:row>
    <x:row r="302">
      <x:c r="A302" s="68"/>
      <x:c r="B302" s="68"/>
      <x:c r="C302" s="68"/>
      <x:c r="D302" s="68"/>
      <x:c r="E302" s="68"/>
      <x:c r="F302" s="68"/>
      <x:c r="G302" s="68"/>
      <x:c r="H302" s="68"/>
      <x:c r="I302" s="68"/>
      <x:c r="J302" s="68"/>
      <x:c r="K302" s="68"/>
      <x:c r="L302" s="68"/>
      <x:c r="M302" s="68"/>
      <x:c r="N302" s="68"/>
      <x:c r="O302" s="68"/>
      <x:c r="P302" s="68"/>
      <x:c r="Q302" s="68"/>
      <x:c r="R302" s="68"/>
      <x:c r="S302" s="68"/>
      <x:c r="T302" s="68"/>
      <x:c r="U302" s="68"/>
      <x:c r="V302" s="68"/>
      <x:c r="W302" s="68"/>
      <x:c r="X302" s="68"/>
      <x:c r="Y302" s="68"/>
      <x:c r="Z302" s="68"/>
    </x:row>
    <x:row r="303">
      <x:c r="A303" s="68"/>
      <x:c r="B303" s="68"/>
      <x:c r="C303" s="68"/>
      <x:c r="D303" s="68"/>
      <x:c r="E303" s="68"/>
      <x:c r="F303" s="68"/>
      <x:c r="G303" s="68"/>
      <x:c r="H303" s="68"/>
      <x:c r="I303" s="68"/>
      <x:c r="J303" s="68"/>
      <x:c r="K303" s="68"/>
      <x:c r="L303" s="68"/>
      <x:c r="M303" s="68"/>
      <x:c r="N303" s="68"/>
      <x:c r="O303" s="68"/>
      <x:c r="P303" s="68"/>
      <x:c r="Q303" s="68"/>
      <x:c r="R303" s="68"/>
      <x:c r="S303" s="68"/>
      <x:c r="T303" s="68"/>
      <x:c r="U303" s="68"/>
      <x:c r="V303" s="68"/>
      <x:c r="W303" s="68"/>
      <x:c r="X303" s="68"/>
      <x:c r="Y303" s="68"/>
      <x:c r="Z303" s="68"/>
    </x:row>
    <x:row r="304">
      <x:c r="A304" s="68"/>
      <x:c r="B304" s="68"/>
      <x:c r="C304" s="68"/>
      <x:c r="D304" s="68"/>
      <x:c r="E304" s="68"/>
      <x:c r="F304" s="68"/>
      <x:c r="G304" s="68"/>
      <x:c r="H304" s="68"/>
      <x:c r="I304" s="68"/>
      <x:c r="J304" s="68"/>
      <x:c r="K304" s="68"/>
      <x:c r="L304" s="68"/>
      <x:c r="M304" s="68"/>
      <x:c r="N304" s="68"/>
      <x:c r="O304" s="68"/>
      <x:c r="P304" s="68"/>
      <x:c r="Q304" s="68"/>
      <x:c r="R304" s="68"/>
      <x:c r="S304" s="68"/>
      <x:c r="T304" s="68"/>
      <x:c r="U304" s="68"/>
      <x:c r="V304" s="68"/>
      <x:c r="W304" s="68"/>
      <x:c r="X304" s="68"/>
      <x:c r="Y304" s="68"/>
      <x:c r="Z304" s="68"/>
    </x:row>
    <x:row r="305">
      <x:c r="A305" s="68"/>
      <x:c r="B305" s="68"/>
      <x:c r="C305" s="68"/>
      <x:c r="D305" s="68"/>
      <x:c r="E305" s="68"/>
      <x:c r="F305" s="68"/>
      <x:c r="G305" s="68"/>
      <x:c r="H305" s="68"/>
      <x:c r="I305" s="68"/>
      <x:c r="J305" s="68"/>
      <x:c r="K305" s="68"/>
      <x:c r="L305" s="68"/>
      <x:c r="M305" s="68"/>
      <x:c r="N305" s="68"/>
      <x:c r="O305" s="68"/>
      <x:c r="P305" s="68"/>
      <x:c r="Q305" s="68"/>
      <x:c r="R305" s="68"/>
      <x:c r="S305" s="68"/>
      <x:c r="T305" s="68"/>
      <x:c r="U305" s="68"/>
      <x:c r="V305" s="68"/>
      <x:c r="W305" s="68"/>
      <x:c r="X305" s="68"/>
      <x:c r="Y305" s="68"/>
      <x:c r="Z305" s="68"/>
    </x:row>
    <x:row r="306">
      <x:c r="A306" s="68"/>
      <x:c r="B306" s="68"/>
      <x:c r="C306" s="68"/>
      <x:c r="D306" s="68"/>
      <x:c r="E306" s="68"/>
      <x:c r="F306" s="68"/>
      <x:c r="G306" s="68"/>
      <x:c r="H306" s="68"/>
      <x:c r="I306" s="68"/>
      <x:c r="J306" s="68"/>
      <x:c r="K306" s="68"/>
      <x:c r="L306" s="68"/>
      <x:c r="M306" s="68"/>
      <x:c r="N306" s="68"/>
      <x:c r="O306" s="68"/>
      <x:c r="P306" s="68"/>
      <x:c r="Q306" s="68"/>
      <x:c r="R306" s="68"/>
      <x:c r="S306" s="68"/>
      <x:c r="T306" s="68"/>
      <x:c r="U306" s="68"/>
      <x:c r="V306" s="68"/>
      <x:c r="W306" s="68"/>
      <x:c r="X306" s="68"/>
      <x:c r="Y306" s="68"/>
      <x:c r="Z306" s="68"/>
    </x:row>
    <x:row r="307">
      <x:c r="A307" s="68"/>
      <x:c r="B307" s="68"/>
      <x:c r="C307" s="68"/>
      <x:c r="D307" s="68"/>
      <x:c r="E307" s="68"/>
      <x:c r="F307" s="68"/>
      <x:c r="G307" s="68"/>
      <x:c r="H307" s="68"/>
      <x:c r="I307" s="68"/>
      <x:c r="J307" s="68"/>
      <x:c r="K307" s="68"/>
      <x:c r="L307" s="68"/>
      <x:c r="M307" s="68"/>
      <x:c r="N307" s="68"/>
      <x:c r="O307" s="68"/>
      <x:c r="P307" s="68"/>
      <x:c r="Q307" s="68"/>
      <x:c r="R307" s="68"/>
      <x:c r="S307" s="68"/>
      <x:c r="T307" s="68"/>
      <x:c r="U307" s="68"/>
      <x:c r="V307" s="68"/>
      <x:c r="W307" s="68"/>
      <x:c r="X307" s="68"/>
      <x:c r="Y307" s="68"/>
      <x:c r="Z307" s="68"/>
    </x:row>
    <x:row r="308">
      <x:c r="A308" s="68"/>
      <x:c r="B308" s="68"/>
      <x:c r="C308" s="68"/>
      <x:c r="D308" s="68"/>
      <x:c r="E308" s="68"/>
      <x:c r="F308" s="68"/>
      <x:c r="G308" s="68"/>
      <x:c r="H308" s="68"/>
      <x:c r="I308" s="68"/>
      <x:c r="J308" s="68"/>
      <x:c r="K308" s="68"/>
      <x:c r="L308" s="68"/>
      <x:c r="M308" s="68"/>
      <x:c r="N308" s="68"/>
      <x:c r="O308" s="68"/>
      <x:c r="P308" s="68"/>
      <x:c r="Q308" s="68"/>
      <x:c r="R308" s="68"/>
      <x:c r="S308" s="68"/>
      <x:c r="T308" s="68"/>
      <x:c r="U308" s="68"/>
      <x:c r="V308" s="68"/>
      <x:c r="W308" s="68"/>
      <x:c r="X308" s="68"/>
      <x:c r="Y308" s="68"/>
      <x:c r="Z308" s="68"/>
    </x:row>
    <x:row r="309">
      <x:c r="A309" s="68"/>
      <x:c r="B309" s="68"/>
      <x:c r="C309" s="68"/>
      <x:c r="D309" s="68"/>
      <x:c r="E309" s="68"/>
      <x:c r="F309" s="68"/>
      <x:c r="G309" s="68"/>
      <x:c r="H309" s="68"/>
      <x:c r="I309" s="68"/>
      <x:c r="J309" s="68"/>
      <x:c r="K309" s="68"/>
      <x:c r="L309" s="68"/>
      <x:c r="M309" s="68"/>
      <x:c r="N309" s="68"/>
      <x:c r="O309" s="68"/>
      <x:c r="P309" s="68"/>
      <x:c r="Q309" s="68"/>
      <x:c r="R309" s="68"/>
      <x:c r="S309" s="68"/>
      <x:c r="T309" s="68"/>
      <x:c r="U309" s="68"/>
      <x:c r="V309" s="68"/>
      <x:c r="W309" s="68"/>
      <x:c r="X309" s="68"/>
      <x:c r="Y309" s="68"/>
      <x:c r="Z309" s="68"/>
    </x:row>
    <x:row r="310">
      <x:c r="A310" s="68"/>
      <x:c r="B310" s="68"/>
      <x:c r="C310" s="68"/>
      <x:c r="D310" s="68"/>
      <x:c r="E310" s="68"/>
      <x:c r="F310" s="68"/>
      <x:c r="G310" s="68"/>
      <x:c r="H310" s="68"/>
      <x:c r="I310" s="68"/>
      <x:c r="J310" s="68"/>
      <x:c r="K310" s="68"/>
      <x:c r="L310" s="68"/>
      <x:c r="M310" s="68"/>
      <x:c r="N310" s="68"/>
      <x:c r="O310" s="68"/>
      <x:c r="P310" s="68"/>
      <x:c r="Q310" s="68"/>
      <x:c r="R310" s="68"/>
      <x:c r="S310" s="68"/>
      <x:c r="T310" s="68"/>
      <x:c r="U310" s="68"/>
      <x:c r="V310" s="68"/>
      <x:c r="W310" s="68"/>
      <x:c r="X310" s="68"/>
      <x:c r="Y310" s="68"/>
      <x:c r="Z310" s="68"/>
    </x:row>
    <x:row r="311">
      <x:c r="A311" s="68"/>
      <x:c r="B311" s="68"/>
      <x:c r="C311" s="68"/>
      <x:c r="D311" s="68"/>
      <x:c r="E311" s="68"/>
      <x:c r="F311" s="68"/>
      <x:c r="G311" s="68"/>
      <x:c r="H311" s="68"/>
      <x:c r="I311" s="68"/>
      <x:c r="J311" s="68"/>
      <x:c r="K311" s="68"/>
      <x:c r="L311" s="68"/>
      <x:c r="M311" s="68"/>
      <x:c r="N311" s="68"/>
      <x:c r="O311" s="68"/>
      <x:c r="P311" s="68"/>
      <x:c r="Q311" s="68"/>
      <x:c r="R311" s="68"/>
      <x:c r="S311" s="68"/>
      <x:c r="T311" s="68"/>
      <x:c r="U311" s="68"/>
      <x:c r="V311" s="68"/>
      <x:c r="W311" s="68"/>
      <x:c r="X311" s="68"/>
      <x:c r="Y311" s="68"/>
      <x:c r="Z311" s="68"/>
    </x:row>
    <x:row r="312">
      <x:c r="A312" s="68"/>
      <x:c r="B312" s="68"/>
      <x:c r="C312" s="68"/>
      <x:c r="D312" s="68"/>
      <x:c r="E312" s="68"/>
      <x:c r="F312" s="68"/>
      <x:c r="G312" s="68"/>
      <x:c r="H312" s="68"/>
      <x:c r="I312" s="68"/>
      <x:c r="J312" s="68"/>
      <x:c r="K312" s="68"/>
      <x:c r="L312" s="68"/>
      <x:c r="M312" s="68"/>
      <x:c r="N312" s="68"/>
      <x:c r="O312" s="68"/>
      <x:c r="P312" s="68"/>
      <x:c r="Q312" s="68"/>
      <x:c r="R312" s="68"/>
      <x:c r="S312" s="68"/>
      <x:c r="T312" s="68"/>
      <x:c r="U312" s="68"/>
      <x:c r="V312" s="68"/>
      <x:c r="W312" s="68"/>
      <x:c r="X312" s="68"/>
      <x:c r="Y312" s="68"/>
      <x:c r="Z312" s="68"/>
    </x:row>
    <x:row r="313">
      <x:c r="A313" s="68"/>
      <x:c r="B313" s="68"/>
      <x:c r="C313" s="68"/>
      <x:c r="D313" s="68"/>
      <x:c r="E313" s="68"/>
      <x:c r="F313" s="68"/>
      <x:c r="G313" s="68"/>
      <x:c r="H313" s="68"/>
      <x:c r="I313" s="68"/>
      <x:c r="J313" s="68"/>
      <x:c r="K313" s="68"/>
      <x:c r="L313" s="68"/>
      <x:c r="M313" s="68"/>
      <x:c r="N313" s="68"/>
      <x:c r="O313" s="68"/>
      <x:c r="P313" s="68"/>
      <x:c r="Q313" s="68"/>
      <x:c r="R313" s="68"/>
      <x:c r="S313" s="68"/>
      <x:c r="T313" s="68"/>
      <x:c r="U313" s="68"/>
      <x:c r="V313" s="68"/>
      <x:c r="W313" s="68"/>
      <x:c r="X313" s="68"/>
      <x:c r="Y313" s="68"/>
      <x:c r="Z313" s="68"/>
    </x:row>
    <x:row r="314">
      <x:c r="A314" s="68"/>
      <x:c r="B314" s="68"/>
      <x:c r="C314" s="68"/>
      <x:c r="D314" s="68"/>
      <x:c r="E314" s="68"/>
      <x:c r="F314" s="68"/>
      <x:c r="G314" s="68"/>
      <x:c r="H314" s="68"/>
      <x:c r="I314" s="68"/>
      <x:c r="J314" s="68"/>
      <x:c r="K314" s="68"/>
      <x:c r="L314" s="68"/>
      <x:c r="M314" s="68"/>
      <x:c r="N314" s="68"/>
      <x:c r="O314" s="68"/>
      <x:c r="P314" s="68"/>
      <x:c r="Q314" s="68"/>
      <x:c r="R314" s="68"/>
      <x:c r="S314" s="68"/>
      <x:c r="T314" s="68"/>
      <x:c r="U314" s="68"/>
      <x:c r="V314" s="68"/>
      <x:c r="W314" s="68"/>
      <x:c r="X314" s="68"/>
      <x:c r="Y314" s="68"/>
      <x:c r="Z314" s="68"/>
    </x:row>
    <x:row r="315">
      <x:c r="A315" s="68"/>
      <x:c r="B315" s="68"/>
      <x:c r="C315" s="68"/>
      <x:c r="D315" s="68"/>
      <x:c r="E315" s="68"/>
      <x:c r="F315" s="68"/>
      <x:c r="G315" s="68"/>
      <x:c r="H315" s="68"/>
      <x:c r="I315" s="68"/>
      <x:c r="J315" s="68"/>
      <x:c r="K315" s="68"/>
      <x:c r="L315" s="68"/>
      <x:c r="M315" s="68"/>
      <x:c r="N315" s="68"/>
      <x:c r="O315" s="68"/>
      <x:c r="P315" s="68"/>
      <x:c r="Q315" s="68"/>
      <x:c r="R315" s="68"/>
      <x:c r="S315" s="68"/>
      <x:c r="T315" s="68"/>
      <x:c r="U315" s="68"/>
      <x:c r="V315" s="68"/>
      <x:c r="W315" s="68"/>
      <x:c r="X315" s="68"/>
      <x:c r="Y315" s="68"/>
      <x:c r="Z315" s="68"/>
    </x:row>
    <x:row r="316">
      <x:c r="A316" s="68"/>
      <x:c r="B316" s="68"/>
      <x:c r="C316" s="68"/>
      <x:c r="D316" s="68"/>
      <x:c r="E316" s="68"/>
      <x:c r="F316" s="68"/>
      <x:c r="G316" s="68"/>
      <x:c r="H316" s="68"/>
      <x:c r="I316" s="68"/>
      <x:c r="J316" s="68"/>
      <x:c r="K316" s="68"/>
      <x:c r="L316" s="68"/>
      <x:c r="M316" s="68"/>
      <x:c r="N316" s="68"/>
      <x:c r="O316" s="68"/>
      <x:c r="P316" s="68"/>
      <x:c r="Q316" s="68"/>
      <x:c r="R316" s="68"/>
      <x:c r="S316" s="68"/>
      <x:c r="T316" s="68"/>
      <x:c r="U316" s="68"/>
      <x:c r="V316" s="68"/>
      <x:c r="W316" s="68"/>
      <x:c r="X316" s="68"/>
      <x:c r="Y316" s="68"/>
      <x:c r="Z316" s="68"/>
    </x:row>
    <x:row r="317">
      <x:c r="A317" s="68"/>
      <x:c r="B317" s="68"/>
      <x:c r="C317" s="68"/>
      <x:c r="D317" s="68"/>
      <x:c r="E317" s="68"/>
      <x:c r="F317" s="68"/>
      <x:c r="G317" s="68"/>
      <x:c r="H317" s="68"/>
      <x:c r="I317" s="68"/>
      <x:c r="J317" s="68"/>
      <x:c r="K317" s="68"/>
      <x:c r="L317" s="68"/>
      <x:c r="M317" s="68"/>
      <x:c r="N317" s="68"/>
      <x:c r="O317" s="68"/>
      <x:c r="P317" s="68"/>
      <x:c r="Q317" s="68"/>
      <x:c r="R317" s="68"/>
      <x:c r="S317" s="68"/>
      <x:c r="T317" s="68"/>
      <x:c r="U317" s="68"/>
      <x:c r="V317" s="68"/>
      <x:c r="W317" s="68"/>
      <x:c r="X317" s="68"/>
      <x:c r="Y317" s="68"/>
      <x:c r="Z317" s="68"/>
    </x:row>
    <x:row r="318">
      <x:c r="A318" s="68"/>
      <x:c r="B318" s="68"/>
      <x:c r="C318" s="68"/>
      <x:c r="D318" s="68"/>
      <x:c r="E318" s="68"/>
      <x:c r="F318" s="68"/>
      <x:c r="G318" s="68"/>
      <x:c r="H318" s="68"/>
      <x:c r="I318" s="68"/>
      <x:c r="J318" s="68"/>
      <x:c r="K318" s="68"/>
      <x:c r="L318" s="68"/>
      <x:c r="M318" s="68"/>
      <x:c r="N318" s="68"/>
      <x:c r="O318" s="68"/>
      <x:c r="P318" s="68"/>
      <x:c r="Q318" s="68"/>
      <x:c r="R318" s="68"/>
      <x:c r="S318" s="68"/>
      <x:c r="T318" s="68"/>
      <x:c r="U318" s="68"/>
      <x:c r="V318" s="68"/>
      <x:c r="W318" s="68"/>
      <x:c r="X318" s="68"/>
      <x:c r="Y318" s="68"/>
      <x:c r="Z318" s="68"/>
    </x:row>
    <x:row r="319">
      <x:c r="A319" s="68"/>
      <x:c r="B319" s="68"/>
      <x:c r="C319" s="68"/>
      <x:c r="D319" s="68"/>
      <x:c r="E319" s="68"/>
      <x:c r="F319" s="68"/>
      <x:c r="G319" s="68"/>
      <x:c r="H319" s="68"/>
      <x:c r="I319" s="68"/>
      <x:c r="J319" s="68"/>
      <x:c r="K319" s="68"/>
      <x:c r="L319" s="68"/>
      <x:c r="M319" s="68"/>
      <x:c r="N319" s="68"/>
      <x:c r="O319" s="68"/>
      <x:c r="P319" s="68"/>
      <x:c r="Q319" s="68"/>
      <x:c r="R319" s="68"/>
      <x:c r="S319" s="68"/>
      <x:c r="T319" s="68"/>
      <x:c r="U319" s="68"/>
      <x:c r="V319" s="68"/>
      <x:c r="W319" s="68"/>
      <x:c r="X319" s="68"/>
      <x:c r="Y319" s="68"/>
      <x:c r="Z319" s="68"/>
    </x:row>
    <x:row r="320">
      <x:c r="A320" s="68"/>
      <x:c r="B320" s="68"/>
      <x:c r="C320" s="68"/>
      <x:c r="D320" s="68"/>
      <x:c r="E320" s="68"/>
      <x:c r="F320" s="68"/>
      <x:c r="G320" s="68"/>
      <x:c r="H320" s="68"/>
      <x:c r="I320" s="68"/>
      <x:c r="J320" s="68"/>
      <x:c r="K320" s="68"/>
      <x:c r="L320" s="68"/>
      <x:c r="M320" s="68"/>
      <x:c r="N320" s="68"/>
      <x:c r="O320" s="68"/>
      <x:c r="P320" s="68"/>
      <x:c r="Q320" s="68"/>
      <x:c r="R320" s="68"/>
      <x:c r="S320" s="68"/>
      <x:c r="T320" s="68"/>
      <x:c r="U320" s="68"/>
      <x:c r="V320" s="68"/>
      <x:c r="W320" s="68"/>
      <x:c r="X320" s="68"/>
      <x:c r="Y320" s="68"/>
      <x:c r="Z320" s="68"/>
    </x:row>
    <x:row r="321">
      <x:c r="A321" s="68"/>
      <x:c r="B321" s="68"/>
      <x:c r="C321" s="68"/>
      <x:c r="D321" s="68"/>
      <x:c r="E321" s="68"/>
      <x:c r="F321" s="68"/>
      <x:c r="G321" s="68"/>
      <x:c r="H321" s="68"/>
      <x:c r="I321" s="68"/>
      <x:c r="J321" s="68"/>
      <x:c r="K321" s="68"/>
      <x:c r="L321" s="68"/>
      <x:c r="M321" s="68"/>
      <x:c r="N321" s="68"/>
      <x:c r="O321" s="68"/>
      <x:c r="P321" s="68"/>
      <x:c r="Q321" s="68"/>
      <x:c r="R321" s="68"/>
      <x:c r="S321" s="68"/>
      <x:c r="T321" s="68"/>
      <x:c r="U321" s="68"/>
      <x:c r="V321" s="68"/>
      <x:c r="W321" s="68"/>
      <x:c r="X321" s="68"/>
      <x:c r="Y321" s="68"/>
      <x:c r="Z321" s="68"/>
    </x:row>
    <x:row r="322">
      <x:c r="A322" s="68"/>
      <x:c r="B322" s="68"/>
      <x:c r="C322" s="68"/>
      <x:c r="D322" s="68"/>
      <x:c r="E322" s="68"/>
      <x:c r="F322" s="68"/>
      <x:c r="G322" s="68"/>
      <x:c r="H322" s="68"/>
      <x:c r="I322" s="68"/>
      <x:c r="J322" s="68"/>
      <x:c r="K322" s="68"/>
      <x:c r="L322" s="68"/>
      <x:c r="M322" s="68"/>
      <x:c r="N322" s="68"/>
      <x:c r="O322" s="68"/>
      <x:c r="P322" s="68"/>
      <x:c r="Q322" s="68"/>
      <x:c r="R322" s="68"/>
      <x:c r="S322" s="68"/>
      <x:c r="T322" s="68"/>
      <x:c r="U322" s="68"/>
      <x:c r="V322" s="68"/>
      <x:c r="W322" s="68"/>
      <x:c r="X322" s="68"/>
      <x:c r="Y322" s="68"/>
      <x:c r="Z322" s="68"/>
    </x:row>
    <x:row r="323">
      <x:c r="A323" s="68"/>
      <x:c r="B323" s="68"/>
      <x:c r="C323" s="68"/>
      <x:c r="D323" s="68"/>
      <x:c r="E323" s="68"/>
      <x:c r="F323" s="68"/>
      <x:c r="G323" s="68"/>
      <x:c r="H323" s="68"/>
      <x:c r="I323" s="68"/>
      <x:c r="J323" s="68"/>
      <x:c r="K323" s="68"/>
      <x:c r="L323" s="68"/>
      <x:c r="M323" s="68"/>
      <x:c r="N323" s="68"/>
      <x:c r="O323" s="68"/>
      <x:c r="P323" s="68"/>
      <x:c r="Q323" s="68"/>
      <x:c r="R323" s="68"/>
      <x:c r="S323" s="68"/>
      <x:c r="T323" s="68"/>
      <x:c r="U323" s="68"/>
      <x:c r="V323" s="68"/>
      <x:c r="W323" s="68"/>
      <x:c r="X323" s="68"/>
      <x:c r="Y323" s="68"/>
      <x:c r="Z323" s="68"/>
    </x:row>
    <x:row r="324">
      <x:c r="A324" s="68"/>
      <x:c r="B324" s="68"/>
      <x:c r="C324" s="68"/>
      <x:c r="D324" s="68"/>
      <x:c r="E324" s="68"/>
      <x:c r="F324" s="68"/>
      <x:c r="G324" s="68"/>
      <x:c r="H324" s="68"/>
      <x:c r="I324" s="68"/>
      <x:c r="J324" s="68"/>
      <x:c r="K324" s="68"/>
      <x:c r="L324" s="68"/>
      <x:c r="M324" s="68"/>
      <x:c r="N324" s="68"/>
      <x:c r="O324" s="68"/>
      <x:c r="P324" s="68"/>
      <x:c r="Q324" s="68"/>
      <x:c r="R324" s="68"/>
      <x:c r="S324" s="68"/>
      <x:c r="T324" s="68"/>
      <x:c r="U324" s="68"/>
      <x:c r="V324" s="68"/>
      <x:c r="W324" s="68"/>
      <x:c r="X324" s="68"/>
      <x:c r="Y324" s="68"/>
      <x:c r="Z324" s="68"/>
    </x:row>
    <x:row r="325">
      <x:c r="A325" s="68"/>
      <x:c r="B325" s="68"/>
      <x:c r="C325" s="68"/>
      <x:c r="D325" s="68"/>
      <x:c r="E325" s="68"/>
      <x:c r="F325" s="68"/>
      <x:c r="G325" s="68"/>
      <x:c r="H325" s="68"/>
      <x:c r="I325" s="68"/>
      <x:c r="J325" s="68"/>
      <x:c r="K325" s="68"/>
      <x:c r="L325" s="68"/>
      <x:c r="M325" s="68"/>
      <x:c r="N325" s="68"/>
      <x:c r="O325" s="68"/>
      <x:c r="P325" s="68"/>
      <x:c r="Q325" s="68"/>
      <x:c r="R325" s="68"/>
      <x:c r="S325" s="68"/>
      <x:c r="T325" s="68"/>
      <x:c r="U325" s="68"/>
      <x:c r="V325" s="68"/>
      <x:c r="W325" s="68"/>
      <x:c r="X325" s="68"/>
      <x:c r="Y325" s="68"/>
      <x:c r="Z325" s="68"/>
    </x:row>
    <x:row r="326">
      <x:c r="A326" s="68"/>
      <x:c r="B326" s="68"/>
      <x:c r="C326" s="68"/>
      <x:c r="D326" s="68"/>
      <x:c r="E326" s="68"/>
      <x:c r="F326" s="68"/>
      <x:c r="G326" s="68"/>
      <x:c r="H326" s="68"/>
      <x:c r="I326" s="68"/>
      <x:c r="J326" s="68"/>
      <x:c r="K326" s="68"/>
      <x:c r="L326" s="68"/>
      <x:c r="M326" s="68"/>
      <x:c r="N326" s="68"/>
      <x:c r="O326" s="68"/>
      <x:c r="P326" s="68"/>
      <x:c r="Q326" s="68"/>
      <x:c r="R326" s="68"/>
      <x:c r="S326" s="68"/>
      <x:c r="T326" s="68"/>
      <x:c r="U326" s="68"/>
      <x:c r="V326" s="68"/>
      <x:c r="W326" s="68"/>
      <x:c r="X326" s="68"/>
      <x:c r="Y326" s="68"/>
      <x:c r="Z326" s="68"/>
    </x:row>
    <x:row r="327">
      <x:c r="A327" s="68"/>
      <x:c r="B327" s="68"/>
      <x:c r="C327" s="68"/>
      <x:c r="D327" s="68"/>
      <x:c r="E327" s="68"/>
      <x:c r="F327" s="68"/>
      <x:c r="G327" s="68"/>
      <x:c r="H327" s="68"/>
      <x:c r="I327" s="68"/>
      <x:c r="J327" s="68"/>
      <x:c r="K327" s="68"/>
      <x:c r="L327" s="68"/>
      <x:c r="M327" s="68"/>
      <x:c r="N327" s="68"/>
      <x:c r="O327" s="68"/>
      <x:c r="P327" s="68"/>
      <x:c r="Q327" s="68"/>
      <x:c r="R327" s="68"/>
      <x:c r="S327" s="68"/>
      <x:c r="T327" s="68"/>
      <x:c r="U327" s="68"/>
      <x:c r="V327" s="68"/>
      <x:c r="W327" s="68"/>
      <x:c r="X327" s="68"/>
      <x:c r="Y327" s="68"/>
      <x:c r="Z327" s="68"/>
    </x:row>
    <x:row r="328">
      <x:c r="A328" s="68"/>
      <x:c r="B328" s="68"/>
      <x:c r="C328" s="68"/>
      <x:c r="D328" s="68"/>
      <x:c r="E328" s="68"/>
      <x:c r="F328" s="68"/>
      <x:c r="G328" s="68"/>
      <x:c r="H328" s="68"/>
      <x:c r="I328" s="68"/>
      <x:c r="J328" s="68"/>
      <x:c r="K328" s="68"/>
      <x:c r="L328" s="68"/>
      <x:c r="M328" s="68"/>
      <x:c r="N328" s="68"/>
      <x:c r="O328" s="68"/>
      <x:c r="P328" s="68"/>
      <x:c r="Q328" s="68"/>
      <x:c r="R328" s="68"/>
      <x:c r="S328" s="68"/>
      <x:c r="T328" s="68"/>
      <x:c r="U328" s="68"/>
      <x:c r="V328" s="68"/>
      <x:c r="W328" s="68"/>
      <x:c r="X328" s="68"/>
      <x:c r="Y328" s="68"/>
      <x:c r="Z328" s="68"/>
    </x:row>
    <x:row r="329">
      <x:c r="A329" s="68"/>
      <x:c r="B329" s="68"/>
      <x:c r="C329" s="68"/>
      <x:c r="D329" s="68"/>
      <x:c r="E329" s="68"/>
      <x:c r="F329" s="68"/>
      <x:c r="G329" s="68"/>
      <x:c r="H329" s="68"/>
      <x:c r="I329" s="68"/>
      <x:c r="J329" s="68"/>
      <x:c r="K329" s="68"/>
      <x:c r="L329" s="68"/>
      <x:c r="M329" s="68"/>
      <x:c r="N329" s="68"/>
      <x:c r="O329" s="68"/>
      <x:c r="P329" s="68"/>
      <x:c r="Q329" s="68"/>
      <x:c r="R329" s="68"/>
      <x:c r="S329" s="68"/>
      <x:c r="T329" s="68"/>
      <x:c r="U329" s="68"/>
      <x:c r="V329" s="68"/>
      <x:c r="W329" s="68"/>
      <x:c r="X329" s="68"/>
      <x:c r="Y329" s="68"/>
      <x:c r="Z329" s="68"/>
    </x:row>
    <x:row r="330">
      <x:c r="A330" s="68"/>
      <x:c r="B330" s="68"/>
      <x:c r="C330" s="68"/>
      <x:c r="D330" s="68"/>
      <x:c r="E330" s="68"/>
      <x:c r="F330" s="68"/>
      <x:c r="G330" s="68"/>
      <x:c r="H330" s="68"/>
      <x:c r="I330" s="68"/>
      <x:c r="J330" s="68"/>
      <x:c r="K330" s="68"/>
      <x:c r="L330" s="68"/>
      <x:c r="M330" s="68"/>
      <x:c r="N330" s="68"/>
      <x:c r="O330" s="68"/>
      <x:c r="P330" s="68"/>
      <x:c r="Q330" s="68"/>
      <x:c r="R330" s="68"/>
      <x:c r="S330" s="68"/>
      <x:c r="T330" s="68"/>
      <x:c r="U330" s="68"/>
      <x:c r="V330" s="68"/>
      <x:c r="W330" s="68"/>
      <x:c r="X330" s="68"/>
      <x:c r="Y330" s="68"/>
      <x:c r="Z330" s="68"/>
    </x:row>
    <x:row r="331">
      <x:c r="A331" s="68"/>
      <x:c r="B331" s="68"/>
      <x:c r="C331" s="68"/>
      <x:c r="D331" s="68"/>
      <x:c r="E331" s="68"/>
      <x:c r="F331" s="68"/>
      <x:c r="G331" s="68"/>
      <x:c r="H331" s="68"/>
      <x:c r="I331" s="68"/>
      <x:c r="J331" s="68"/>
      <x:c r="K331" s="68"/>
      <x:c r="L331" s="68"/>
      <x:c r="M331" s="68"/>
      <x:c r="N331" s="68"/>
      <x:c r="O331" s="68"/>
      <x:c r="P331" s="68"/>
      <x:c r="Q331" s="68"/>
      <x:c r="R331" s="68"/>
      <x:c r="S331" s="68"/>
      <x:c r="T331" s="68"/>
      <x:c r="U331" s="68"/>
      <x:c r="V331" s="68"/>
      <x:c r="W331" s="68"/>
      <x:c r="X331" s="68"/>
      <x:c r="Y331" s="68"/>
      <x:c r="Z331" s="68"/>
    </x:row>
    <x:row r="332">
      <x:c r="A332" s="68"/>
      <x:c r="B332" s="68"/>
      <x:c r="C332" s="68"/>
      <x:c r="D332" s="68"/>
      <x:c r="E332" s="68"/>
      <x:c r="F332" s="68"/>
      <x:c r="G332" s="68"/>
      <x:c r="H332" s="68"/>
      <x:c r="I332" s="68"/>
      <x:c r="J332" s="68"/>
      <x:c r="K332" s="68"/>
      <x:c r="L332" s="68"/>
      <x:c r="M332" s="68"/>
      <x:c r="N332" s="68"/>
      <x:c r="O332" s="68"/>
      <x:c r="P332" s="68"/>
      <x:c r="Q332" s="68"/>
      <x:c r="R332" s="68"/>
      <x:c r="S332" s="68"/>
      <x:c r="T332" s="68"/>
      <x:c r="U332" s="68"/>
      <x:c r="V332" s="68"/>
      <x:c r="W332" s="68"/>
      <x:c r="X332" s="68"/>
      <x:c r="Y332" s="68"/>
      <x:c r="Z332" s="68"/>
    </x:row>
    <x:row r="333">
      <x:c r="A333" s="68"/>
      <x:c r="B333" s="68"/>
      <x:c r="C333" s="68"/>
      <x:c r="D333" s="68"/>
      <x:c r="E333" s="68"/>
      <x:c r="F333" s="68"/>
      <x:c r="G333" s="68"/>
      <x:c r="H333" s="68"/>
      <x:c r="I333" s="68"/>
      <x:c r="J333" s="68"/>
      <x:c r="K333" s="68"/>
      <x:c r="L333" s="68"/>
      <x:c r="M333" s="68"/>
      <x:c r="N333" s="68"/>
      <x:c r="O333" s="68"/>
      <x:c r="P333" s="68"/>
      <x:c r="Q333" s="68"/>
      <x:c r="R333" s="68"/>
      <x:c r="S333" s="68"/>
      <x:c r="T333" s="68"/>
      <x:c r="U333" s="68"/>
      <x:c r="V333" s="68"/>
      <x:c r="W333" s="68"/>
      <x:c r="X333" s="68"/>
      <x:c r="Y333" s="68"/>
      <x:c r="Z333" s="68"/>
    </x:row>
    <x:row r="334">
      <x:c r="A334" s="68"/>
      <x:c r="B334" s="68"/>
      <x:c r="C334" s="68"/>
      <x:c r="D334" s="68"/>
      <x:c r="E334" s="68"/>
      <x:c r="F334" s="68"/>
      <x:c r="G334" s="68"/>
      <x:c r="H334" s="68"/>
      <x:c r="I334" s="68"/>
      <x:c r="J334" s="68"/>
      <x:c r="K334" s="68"/>
      <x:c r="L334" s="68"/>
      <x:c r="M334" s="68"/>
      <x:c r="N334" s="68"/>
      <x:c r="O334" s="68"/>
      <x:c r="P334" s="68"/>
      <x:c r="Q334" s="68"/>
      <x:c r="R334" s="68"/>
      <x:c r="S334" s="68"/>
      <x:c r="T334" s="68"/>
      <x:c r="U334" s="68"/>
      <x:c r="V334" s="68"/>
      <x:c r="W334" s="68"/>
      <x:c r="X334" s="68"/>
      <x:c r="Y334" s="68"/>
      <x:c r="Z334" s="68"/>
    </x:row>
    <x:row r="335">
      <x:c r="A335" s="68"/>
      <x:c r="B335" s="68"/>
      <x:c r="C335" s="68"/>
      <x:c r="D335" s="68"/>
      <x:c r="E335" s="68"/>
      <x:c r="F335" s="68"/>
      <x:c r="G335" s="68"/>
      <x:c r="H335" s="68"/>
      <x:c r="I335" s="68"/>
      <x:c r="J335" s="68"/>
      <x:c r="K335" s="68"/>
      <x:c r="L335" s="68"/>
      <x:c r="M335" s="68"/>
      <x:c r="N335" s="68"/>
      <x:c r="O335" s="68"/>
      <x:c r="P335" s="68"/>
      <x:c r="Q335" s="68"/>
      <x:c r="R335" s="68"/>
      <x:c r="S335" s="68"/>
      <x:c r="T335" s="68"/>
      <x:c r="U335" s="68"/>
      <x:c r="V335" s="68"/>
      <x:c r="W335" s="68"/>
      <x:c r="X335" s="68"/>
      <x:c r="Y335" s="68"/>
      <x:c r="Z335" s="68"/>
    </x:row>
    <x:row r="336">
      <x:c r="A336" s="68"/>
      <x:c r="B336" s="68"/>
      <x:c r="C336" s="68"/>
      <x:c r="D336" s="68"/>
      <x:c r="E336" s="68"/>
      <x:c r="F336" s="68"/>
      <x:c r="G336" s="68"/>
      <x:c r="H336" s="68"/>
      <x:c r="I336" s="68"/>
      <x:c r="J336" s="68"/>
      <x:c r="K336" s="68"/>
      <x:c r="L336" s="68"/>
      <x:c r="M336" s="68"/>
      <x:c r="N336" s="68"/>
      <x:c r="O336" s="68"/>
      <x:c r="P336" s="68"/>
      <x:c r="Q336" s="68"/>
      <x:c r="R336" s="68"/>
      <x:c r="S336" s="68"/>
      <x:c r="T336" s="68"/>
      <x:c r="U336" s="68"/>
      <x:c r="V336" s="68"/>
      <x:c r="W336" s="68"/>
      <x:c r="X336" s="68"/>
      <x:c r="Y336" s="68"/>
      <x:c r="Z336" s="68"/>
    </x:row>
    <x:row r="337">
      <x:c r="A337" s="68"/>
      <x:c r="B337" s="68"/>
      <x:c r="C337" s="68"/>
      <x:c r="D337" s="68"/>
      <x:c r="E337" s="68"/>
      <x:c r="F337" s="68"/>
      <x:c r="G337" s="68"/>
      <x:c r="H337" s="68"/>
      <x:c r="I337" s="68"/>
      <x:c r="J337" s="68"/>
      <x:c r="K337" s="68"/>
      <x:c r="L337" s="68"/>
      <x:c r="M337" s="68"/>
      <x:c r="N337" s="68"/>
      <x:c r="O337" s="68"/>
      <x:c r="P337" s="68"/>
      <x:c r="Q337" s="68"/>
      <x:c r="R337" s="68"/>
      <x:c r="S337" s="68"/>
      <x:c r="T337" s="68"/>
      <x:c r="U337" s="68"/>
      <x:c r="V337" s="68"/>
      <x:c r="W337" s="68"/>
      <x:c r="X337" s="68"/>
      <x:c r="Y337" s="68"/>
      <x:c r="Z337" s="68"/>
    </x:row>
    <x:row r="338">
      <x:c r="A338" s="68"/>
      <x:c r="B338" s="68"/>
      <x:c r="C338" s="68"/>
      <x:c r="D338" s="68"/>
      <x:c r="E338" s="68"/>
      <x:c r="F338" s="68"/>
      <x:c r="G338" s="68"/>
      <x:c r="H338" s="68"/>
      <x:c r="I338" s="68"/>
      <x:c r="J338" s="68"/>
      <x:c r="K338" s="68"/>
      <x:c r="L338" s="68"/>
      <x:c r="M338" s="68"/>
      <x:c r="N338" s="68"/>
      <x:c r="O338" s="68"/>
      <x:c r="P338" s="68"/>
      <x:c r="Q338" s="68"/>
      <x:c r="R338" s="68"/>
      <x:c r="S338" s="68"/>
      <x:c r="T338" s="68"/>
      <x:c r="U338" s="68"/>
      <x:c r="V338" s="68"/>
      <x:c r="W338" s="68"/>
      <x:c r="X338" s="68"/>
      <x:c r="Y338" s="68"/>
      <x:c r="Z338" s="68"/>
    </x:row>
    <x:row r="339">
      <x:c r="A339" s="68"/>
      <x:c r="B339" s="68"/>
      <x:c r="C339" s="68"/>
      <x:c r="D339" s="68"/>
      <x:c r="E339" s="68"/>
      <x:c r="F339" s="68"/>
      <x:c r="G339" s="68"/>
      <x:c r="H339" s="68"/>
      <x:c r="I339" s="68"/>
      <x:c r="J339" s="68"/>
      <x:c r="K339" s="68"/>
      <x:c r="L339" s="68"/>
      <x:c r="M339" s="68"/>
      <x:c r="N339" s="68"/>
      <x:c r="O339" s="68"/>
      <x:c r="P339" s="68"/>
      <x:c r="Q339" s="68"/>
      <x:c r="R339" s="68"/>
      <x:c r="S339" s="68"/>
      <x:c r="T339" s="68"/>
      <x:c r="U339" s="68"/>
      <x:c r="V339" s="68"/>
      <x:c r="W339" s="68"/>
      <x:c r="X339" s="68"/>
      <x:c r="Y339" s="68"/>
      <x:c r="Z339" s="68"/>
    </x:row>
    <x:row r="340">
      <x:c r="A340" s="68"/>
      <x:c r="B340" s="68"/>
      <x:c r="C340" s="68"/>
      <x:c r="D340" s="68"/>
      <x:c r="E340" s="68"/>
      <x:c r="F340" s="68"/>
      <x:c r="G340" s="68"/>
      <x:c r="H340" s="68"/>
      <x:c r="I340" s="68"/>
      <x:c r="J340" s="68"/>
      <x:c r="K340" s="68"/>
      <x:c r="L340" s="68"/>
      <x:c r="M340" s="68"/>
      <x:c r="N340" s="68"/>
      <x:c r="O340" s="68"/>
      <x:c r="P340" s="68"/>
      <x:c r="Q340" s="68"/>
      <x:c r="R340" s="68"/>
      <x:c r="S340" s="68"/>
      <x:c r="T340" s="68"/>
      <x:c r="U340" s="68"/>
      <x:c r="V340" s="68"/>
      <x:c r="W340" s="68"/>
      <x:c r="X340" s="68"/>
      <x:c r="Y340" s="68"/>
      <x:c r="Z340" s="68"/>
    </x:row>
    <x:row r="341">
      <x:c r="A341" s="68"/>
      <x:c r="B341" s="68"/>
      <x:c r="C341" s="68"/>
      <x:c r="D341" s="68"/>
      <x:c r="E341" s="68"/>
      <x:c r="F341" s="68"/>
      <x:c r="G341" s="68"/>
      <x:c r="H341" s="68"/>
      <x:c r="I341" s="68"/>
      <x:c r="J341" s="68"/>
      <x:c r="K341" s="68"/>
      <x:c r="L341" s="68"/>
      <x:c r="M341" s="68"/>
      <x:c r="N341" s="68"/>
      <x:c r="O341" s="68"/>
      <x:c r="P341" s="68"/>
      <x:c r="Q341" s="68"/>
      <x:c r="R341" s="68"/>
      <x:c r="S341" s="68"/>
      <x:c r="T341" s="68"/>
      <x:c r="U341" s="68"/>
      <x:c r="V341" s="68"/>
      <x:c r="W341" s="68"/>
      <x:c r="X341" s="68"/>
      <x:c r="Y341" s="68"/>
      <x:c r="Z341" s="68"/>
    </x:row>
    <x:row r="342">
      <x:c r="A342" s="68"/>
      <x:c r="B342" s="68"/>
      <x:c r="C342" s="68"/>
      <x:c r="D342" s="68"/>
      <x:c r="E342" s="68"/>
      <x:c r="F342" s="68"/>
      <x:c r="G342" s="68"/>
      <x:c r="H342" s="68"/>
      <x:c r="I342" s="68"/>
      <x:c r="J342" s="68"/>
      <x:c r="K342" s="68"/>
      <x:c r="L342" s="68"/>
      <x:c r="M342" s="68"/>
      <x:c r="N342" s="68"/>
      <x:c r="O342" s="68"/>
      <x:c r="P342" s="68"/>
      <x:c r="Q342" s="68"/>
      <x:c r="R342" s="68"/>
      <x:c r="S342" s="68"/>
      <x:c r="T342" s="68"/>
      <x:c r="U342" s="68"/>
      <x:c r="V342" s="68"/>
      <x:c r="W342" s="68"/>
      <x:c r="X342" s="68"/>
      <x:c r="Y342" s="68"/>
      <x:c r="Z342" s="68"/>
    </x:row>
    <x:row r="343">
      <x:c r="A343" s="68"/>
      <x:c r="B343" s="68"/>
      <x:c r="C343" s="68"/>
      <x:c r="D343" s="68"/>
      <x:c r="E343" s="68"/>
      <x:c r="F343" s="68"/>
      <x:c r="G343" s="68"/>
      <x:c r="H343" s="68"/>
      <x:c r="I343" s="68"/>
      <x:c r="J343" s="68"/>
      <x:c r="K343" s="68"/>
      <x:c r="L343" s="68"/>
      <x:c r="M343" s="68"/>
      <x:c r="N343" s="68"/>
      <x:c r="O343" s="68"/>
      <x:c r="P343" s="68"/>
      <x:c r="Q343" s="68"/>
      <x:c r="R343" s="68"/>
      <x:c r="S343" s="68"/>
      <x:c r="T343" s="68"/>
      <x:c r="U343" s="68"/>
      <x:c r="V343" s="68"/>
      <x:c r="W343" s="68"/>
      <x:c r="X343" s="68"/>
      <x:c r="Y343" s="68"/>
      <x:c r="Z343" s="68"/>
    </x:row>
    <x:row r="344">
      <x:c r="A344" s="68"/>
      <x:c r="B344" s="68"/>
      <x:c r="C344" s="68"/>
      <x:c r="D344" s="68"/>
      <x:c r="E344" s="68"/>
      <x:c r="F344" s="68"/>
      <x:c r="G344" s="68"/>
      <x:c r="H344" s="68"/>
      <x:c r="I344" s="68"/>
      <x:c r="J344" s="68"/>
      <x:c r="K344" s="68"/>
      <x:c r="L344" s="68"/>
      <x:c r="M344" s="68"/>
      <x:c r="N344" s="68"/>
      <x:c r="O344" s="68"/>
      <x:c r="P344" s="68"/>
      <x:c r="Q344" s="68"/>
      <x:c r="R344" s="68"/>
      <x:c r="S344" s="68"/>
      <x:c r="T344" s="68"/>
      <x:c r="U344" s="68"/>
      <x:c r="V344" s="68"/>
      <x:c r="W344" s="68"/>
      <x:c r="X344" s="68"/>
      <x:c r="Y344" s="68"/>
      <x:c r="Z344" s="68"/>
    </x:row>
    <x:row r="345">
      <x:c r="A345" s="68"/>
      <x:c r="B345" s="68"/>
      <x:c r="C345" s="68"/>
      <x:c r="D345" s="68"/>
      <x:c r="E345" s="68"/>
      <x:c r="F345" s="68"/>
      <x:c r="G345" s="68"/>
      <x:c r="H345" s="68"/>
      <x:c r="I345" s="68"/>
      <x:c r="J345" s="68"/>
      <x:c r="K345" s="68"/>
      <x:c r="L345" s="68"/>
      <x:c r="M345" s="68"/>
      <x:c r="N345" s="68"/>
      <x:c r="O345" s="68"/>
      <x:c r="P345" s="68"/>
      <x:c r="Q345" s="68"/>
      <x:c r="R345" s="68"/>
      <x:c r="S345" s="68"/>
      <x:c r="T345" s="68"/>
      <x:c r="U345" s="68"/>
      <x:c r="V345" s="68"/>
      <x:c r="W345" s="68"/>
      <x:c r="X345" s="68"/>
      <x:c r="Y345" s="68"/>
      <x:c r="Z345" s="68"/>
    </x:row>
    <x:row r="346">
      <x:c r="A346" s="68"/>
      <x:c r="B346" s="68"/>
      <x:c r="C346" s="68"/>
      <x:c r="D346" s="68"/>
      <x:c r="E346" s="68"/>
      <x:c r="F346" s="68"/>
      <x:c r="G346" s="68"/>
      <x:c r="H346" s="68"/>
      <x:c r="I346" s="68"/>
      <x:c r="J346" s="68"/>
      <x:c r="K346" s="68"/>
      <x:c r="L346" s="68"/>
      <x:c r="M346" s="68"/>
      <x:c r="N346" s="68"/>
      <x:c r="O346" s="68"/>
      <x:c r="P346" s="68"/>
      <x:c r="Q346" s="68"/>
      <x:c r="R346" s="68"/>
      <x:c r="S346" s="68"/>
      <x:c r="T346" s="68"/>
      <x:c r="U346" s="68"/>
      <x:c r="V346" s="68"/>
      <x:c r="W346" s="68"/>
      <x:c r="X346" s="68"/>
      <x:c r="Y346" s="68"/>
      <x:c r="Z346" s="68"/>
    </x:row>
    <x:row r="347">
      <x:c r="A347" s="68"/>
      <x:c r="B347" s="68"/>
      <x:c r="C347" s="68"/>
      <x:c r="D347" s="68"/>
      <x:c r="E347" s="68"/>
      <x:c r="F347" s="68"/>
      <x:c r="G347" s="68"/>
      <x:c r="H347" s="68"/>
      <x:c r="I347" s="68"/>
      <x:c r="J347" s="68"/>
      <x:c r="K347" s="68"/>
      <x:c r="L347" s="68"/>
      <x:c r="M347" s="68"/>
      <x:c r="N347" s="68"/>
      <x:c r="O347" s="68"/>
      <x:c r="P347" s="68"/>
      <x:c r="Q347" s="68"/>
      <x:c r="R347" s="68"/>
      <x:c r="S347" s="68"/>
      <x:c r="T347" s="68"/>
      <x:c r="U347" s="68"/>
      <x:c r="V347" s="68"/>
      <x:c r="W347" s="68"/>
      <x:c r="X347" s="68"/>
      <x:c r="Y347" s="68"/>
      <x:c r="Z347" s="68"/>
    </x:row>
    <x:row r="348">
      <x:c r="A348" s="68"/>
      <x:c r="B348" s="68"/>
      <x:c r="C348" s="68"/>
      <x:c r="D348" s="68"/>
      <x:c r="E348" s="68"/>
      <x:c r="F348" s="68"/>
      <x:c r="G348" s="68"/>
      <x:c r="H348" s="68"/>
      <x:c r="I348" s="68"/>
      <x:c r="J348" s="68"/>
      <x:c r="K348" s="68"/>
      <x:c r="L348" s="68"/>
      <x:c r="M348" s="68"/>
      <x:c r="N348" s="68"/>
      <x:c r="O348" s="68"/>
      <x:c r="P348" s="68"/>
      <x:c r="Q348" s="68"/>
      <x:c r="R348" s="68"/>
      <x:c r="S348" s="68"/>
      <x:c r="T348" s="68"/>
      <x:c r="U348" s="68"/>
      <x:c r="V348" s="68"/>
      <x:c r="W348" s="68"/>
      <x:c r="X348" s="68"/>
      <x:c r="Y348" s="68"/>
      <x:c r="Z348" s="68"/>
    </x:row>
    <x:row r="349">
      <x:c r="A349" s="68"/>
      <x:c r="B349" s="68"/>
      <x:c r="C349" s="68"/>
      <x:c r="D349" s="68"/>
      <x:c r="E349" s="68"/>
      <x:c r="F349" s="68"/>
      <x:c r="G349" s="68"/>
      <x:c r="H349" s="68"/>
      <x:c r="I349" s="68"/>
      <x:c r="J349" s="68"/>
      <x:c r="K349" s="68"/>
      <x:c r="L349" s="68"/>
      <x:c r="M349" s="68"/>
      <x:c r="N349" s="68"/>
      <x:c r="O349" s="68"/>
      <x:c r="P349" s="68"/>
      <x:c r="Q349" s="68"/>
      <x:c r="R349" s="68"/>
      <x:c r="S349" s="68"/>
      <x:c r="T349" s="68"/>
      <x:c r="U349" s="68"/>
      <x:c r="V349" s="68"/>
      <x:c r="W349" s="68"/>
      <x:c r="X349" s="68"/>
      <x:c r="Y349" s="68"/>
      <x:c r="Z349" s="68"/>
    </x:row>
    <x:row r="350">
      <x:c r="A350" s="68"/>
      <x:c r="B350" s="68"/>
      <x:c r="C350" s="68"/>
      <x:c r="D350" s="68"/>
      <x:c r="E350" s="68"/>
      <x:c r="F350" s="68"/>
      <x:c r="G350" s="68"/>
      <x:c r="H350" s="68"/>
      <x:c r="I350" s="68"/>
      <x:c r="J350" s="68"/>
      <x:c r="K350" s="68"/>
      <x:c r="L350" s="68"/>
      <x:c r="M350" s="68"/>
      <x:c r="N350" s="68"/>
      <x:c r="O350" s="68"/>
      <x:c r="P350" s="68"/>
      <x:c r="Q350" s="68"/>
      <x:c r="R350" s="68"/>
      <x:c r="S350" s="68"/>
      <x:c r="T350" s="68"/>
      <x:c r="U350" s="68"/>
      <x:c r="V350" s="68"/>
      <x:c r="W350" s="68"/>
      <x:c r="X350" s="68"/>
      <x:c r="Y350" s="68"/>
      <x:c r="Z350" s="68"/>
    </x:row>
    <x:row r="351">
      <x:c r="A351" s="68"/>
      <x:c r="B351" s="68"/>
      <x:c r="C351" s="68"/>
      <x:c r="D351" s="68"/>
      <x:c r="E351" s="68"/>
      <x:c r="F351" s="68"/>
      <x:c r="G351" s="68"/>
      <x:c r="H351" s="68"/>
      <x:c r="I351" s="68"/>
      <x:c r="J351" s="68"/>
      <x:c r="K351" s="68"/>
      <x:c r="L351" s="68"/>
      <x:c r="M351" s="68"/>
      <x:c r="N351" s="68"/>
      <x:c r="O351" s="68"/>
      <x:c r="P351" s="68"/>
      <x:c r="Q351" s="68"/>
      <x:c r="R351" s="68"/>
      <x:c r="S351" s="68"/>
      <x:c r="T351" s="68"/>
      <x:c r="U351" s="68"/>
      <x:c r="V351" s="68"/>
      <x:c r="W351" s="68"/>
      <x:c r="X351" s="68"/>
      <x:c r="Y351" s="68"/>
      <x:c r="Z351" s="68"/>
    </x:row>
    <x:row r="352">
      <x:c r="A352" s="68"/>
      <x:c r="B352" s="68"/>
      <x:c r="C352" s="68"/>
      <x:c r="D352" s="68"/>
      <x:c r="E352" s="68"/>
      <x:c r="F352" s="68"/>
      <x:c r="G352" s="68"/>
      <x:c r="H352" s="68"/>
      <x:c r="I352" s="68"/>
      <x:c r="J352" s="68"/>
      <x:c r="K352" s="68"/>
      <x:c r="L352" s="68"/>
      <x:c r="M352" s="68"/>
      <x:c r="N352" s="68"/>
      <x:c r="O352" s="68"/>
      <x:c r="P352" s="68"/>
      <x:c r="Q352" s="68"/>
      <x:c r="R352" s="68"/>
      <x:c r="S352" s="68"/>
      <x:c r="T352" s="68"/>
      <x:c r="U352" s="68"/>
      <x:c r="V352" s="68"/>
      <x:c r="W352" s="68"/>
      <x:c r="X352" s="68"/>
      <x:c r="Y352" s="68"/>
      <x:c r="Z352" s="68"/>
    </x:row>
    <x:row r="353">
      <x:c r="A353" s="68"/>
      <x:c r="B353" s="68"/>
      <x:c r="C353" s="68"/>
      <x:c r="D353" s="68"/>
      <x:c r="E353" s="68"/>
      <x:c r="F353" s="68"/>
      <x:c r="G353" s="68"/>
      <x:c r="H353" s="68"/>
      <x:c r="I353" s="68"/>
      <x:c r="J353" s="68"/>
      <x:c r="K353" s="68"/>
      <x:c r="L353" s="68"/>
      <x:c r="M353" s="68"/>
      <x:c r="N353" s="68"/>
      <x:c r="O353" s="68"/>
      <x:c r="P353" s="68"/>
      <x:c r="Q353" s="68"/>
      <x:c r="R353" s="68"/>
      <x:c r="S353" s="68"/>
      <x:c r="T353" s="68"/>
      <x:c r="U353" s="68"/>
      <x:c r="V353" s="68"/>
      <x:c r="W353" s="68"/>
      <x:c r="X353" s="68"/>
      <x:c r="Y353" s="68"/>
      <x:c r="Z353" s="68"/>
    </x:row>
    <x:row r="354">
      <x:c r="A354" s="68"/>
      <x:c r="B354" s="68"/>
      <x:c r="C354" s="68"/>
      <x:c r="D354" s="68"/>
      <x:c r="E354" s="68"/>
      <x:c r="F354" s="68"/>
      <x:c r="G354" s="68"/>
      <x:c r="H354" s="68"/>
      <x:c r="I354" s="68"/>
      <x:c r="J354" s="68"/>
      <x:c r="K354" s="68"/>
      <x:c r="L354" s="68"/>
      <x:c r="M354" s="68"/>
      <x:c r="N354" s="68"/>
      <x:c r="O354" s="68"/>
      <x:c r="P354" s="68"/>
      <x:c r="Q354" s="68"/>
      <x:c r="R354" s="68"/>
      <x:c r="S354" s="68"/>
      <x:c r="T354" s="68"/>
      <x:c r="U354" s="68"/>
      <x:c r="V354" s="68"/>
      <x:c r="W354" s="68"/>
      <x:c r="X354" s="68"/>
      <x:c r="Y354" s="68"/>
      <x:c r="Z354" s="68"/>
    </x:row>
    <x:row r="355">
      <x:c r="A355" s="68"/>
      <x:c r="B355" s="68"/>
      <x:c r="C355" s="68"/>
      <x:c r="D355" s="68"/>
      <x:c r="E355" s="68"/>
      <x:c r="F355" s="68"/>
      <x:c r="G355" s="68"/>
      <x:c r="H355" s="68"/>
      <x:c r="I355" s="68"/>
      <x:c r="J355" s="68"/>
      <x:c r="K355" s="68"/>
      <x:c r="L355" s="68"/>
      <x:c r="M355" s="68"/>
      <x:c r="N355" s="68"/>
      <x:c r="O355" s="68"/>
      <x:c r="P355" s="68"/>
      <x:c r="Q355" s="68"/>
      <x:c r="R355" s="68"/>
      <x:c r="S355" s="68"/>
      <x:c r="T355" s="68"/>
      <x:c r="U355" s="68"/>
      <x:c r="V355" s="68"/>
      <x:c r="W355" s="68"/>
      <x:c r="X355" s="68"/>
      <x:c r="Y355" s="68"/>
      <x:c r="Z355" s="68"/>
    </x:row>
    <x:row r="356">
      <x:c r="A356" s="68"/>
      <x:c r="B356" s="68"/>
      <x:c r="C356" s="68"/>
      <x:c r="D356" s="68"/>
      <x:c r="E356" s="68"/>
      <x:c r="F356" s="68"/>
      <x:c r="G356" s="68"/>
      <x:c r="H356" s="68"/>
      <x:c r="I356" s="68"/>
      <x:c r="J356" s="68"/>
      <x:c r="K356" s="68"/>
      <x:c r="L356" s="68"/>
      <x:c r="M356" s="68"/>
      <x:c r="N356" s="68"/>
      <x:c r="O356" s="68"/>
      <x:c r="P356" s="68"/>
      <x:c r="Q356" s="68"/>
      <x:c r="R356" s="68"/>
      <x:c r="S356" s="68"/>
      <x:c r="T356" s="68"/>
      <x:c r="U356" s="68"/>
      <x:c r="V356" s="68"/>
      <x:c r="W356" s="68"/>
      <x:c r="X356" s="68"/>
      <x:c r="Y356" s="68"/>
      <x:c r="Z356" s="68"/>
    </x:row>
    <x:row r="357">
      <x:c r="A357" s="68"/>
      <x:c r="B357" s="68"/>
      <x:c r="C357" s="68"/>
      <x:c r="D357" s="68"/>
      <x:c r="E357" s="68"/>
      <x:c r="F357" s="68"/>
      <x:c r="G357" s="68"/>
      <x:c r="H357" s="68"/>
      <x:c r="I357" s="68"/>
      <x:c r="J357" s="68"/>
      <x:c r="K357" s="68"/>
      <x:c r="L357" s="68"/>
      <x:c r="M357" s="68"/>
      <x:c r="N357" s="68"/>
      <x:c r="O357" s="68"/>
      <x:c r="P357" s="68"/>
      <x:c r="Q357" s="68"/>
      <x:c r="R357" s="68"/>
      <x:c r="S357" s="68"/>
      <x:c r="T357" s="68"/>
      <x:c r="U357" s="68"/>
      <x:c r="V357" s="68"/>
      <x:c r="W357" s="68"/>
      <x:c r="X357" s="68"/>
      <x:c r="Y357" s="68"/>
      <x:c r="Z357" s="68"/>
    </x:row>
    <x:row r="358">
      <x:c r="A358" s="68"/>
      <x:c r="B358" s="68"/>
      <x:c r="C358" s="68"/>
      <x:c r="D358" s="68"/>
      <x:c r="E358" s="68"/>
      <x:c r="F358" s="68"/>
      <x:c r="G358" s="68"/>
      <x:c r="H358" s="68"/>
      <x:c r="I358" s="68"/>
      <x:c r="J358" s="68"/>
      <x:c r="K358" s="68"/>
      <x:c r="L358" s="68"/>
      <x:c r="M358" s="68"/>
      <x:c r="N358" s="68"/>
      <x:c r="O358" s="68"/>
      <x:c r="P358" s="68"/>
      <x:c r="Q358" s="68"/>
      <x:c r="R358" s="68"/>
      <x:c r="S358" s="68"/>
      <x:c r="T358" s="68"/>
      <x:c r="U358" s="68"/>
      <x:c r="V358" s="68"/>
      <x:c r="W358" s="68"/>
      <x:c r="X358" s="68"/>
      <x:c r="Y358" s="68"/>
      <x:c r="Z358" s="68"/>
    </x:row>
    <x:row r="359">
      <x:c r="A359" s="68"/>
      <x:c r="B359" s="68"/>
      <x:c r="C359" s="68"/>
      <x:c r="D359" s="68"/>
      <x:c r="E359" s="68"/>
      <x:c r="F359" s="68"/>
      <x:c r="G359" s="68"/>
      <x:c r="H359" s="68"/>
      <x:c r="I359" s="68"/>
      <x:c r="J359" s="68"/>
      <x:c r="K359" s="68"/>
      <x:c r="L359" s="68"/>
      <x:c r="M359" s="68"/>
      <x:c r="N359" s="68"/>
      <x:c r="O359" s="68"/>
      <x:c r="P359" s="68"/>
      <x:c r="Q359" s="68"/>
      <x:c r="R359" s="68"/>
      <x:c r="S359" s="68"/>
      <x:c r="T359" s="68"/>
      <x:c r="U359" s="68"/>
      <x:c r="V359" s="68"/>
      <x:c r="W359" s="68"/>
      <x:c r="X359" s="68"/>
      <x:c r="Y359" s="68"/>
      <x:c r="Z359" s="68"/>
    </x:row>
    <x:row r="360">
      <x:c r="A360" s="68"/>
      <x:c r="B360" s="68"/>
      <x:c r="C360" s="68"/>
      <x:c r="D360" s="68"/>
      <x:c r="E360" s="68"/>
      <x:c r="F360" s="68"/>
      <x:c r="G360" s="68"/>
      <x:c r="H360" s="68"/>
      <x:c r="I360" s="68"/>
      <x:c r="J360" s="68"/>
      <x:c r="K360" s="68"/>
      <x:c r="L360" s="68"/>
      <x:c r="M360" s="68"/>
      <x:c r="N360" s="68"/>
      <x:c r="O360" s="68"/>
      <x:c r="P360" s="68"/>
      <x:c r="Q360" s="68"/>
      <x:c r="R360" s="68"/>
      <x:c r="S360" s="68"/>
      <x:c r="T360" s="68"/>
      <x:c r="U360" s="68"/>
      <x:c r="V360" s="68"/>
      <x:c r="W360" s="68"/>
      <x:c r="X360" s="68"/>
      <x:c r="Y360" s="68"/>
      <x:c r="Z360" s="68"/>
    </x:row>
    <x:row r="361">
      <x:c r="A361" s="68"/>
      <x:c r="B361" s="68"/>
      <x:c r="C361" s="68"/>
      <x:c r="D361" s="68"/>
      <x:c r="E361" s="68"/>
      <x:c r="F361" s="68"/>
      <x:c r="G361" s="68"/>
      <x:c r="H361" s="68"/>
      <x:c r="I361" s="68"/>
      <x:c r="J361" s="68"/>
      <x:c r="K361" s="68"/>
      <x:c r="L361" s="68"/>
      <x:c r="M361" s="68"/>
      <x:c r="N361" s="68"/>
      <x:c r="O361" s="68"/>
      <x:c r="P361" s="68"/>
      <x:c r="Q361" s="68"/>
      <x:c r="R361" s="68"/>
      <x:c r="S361" s="68"/>
      <x:c r="T361" s="68"/>
      <x:c r="U361" s="68"/>
      <x:c r="V361" s="68"/>
      <x:c r="W361" s="68"/>
      <x:c r="X361" s="68"/>
      <x:c r="Y361" s="68"/>
      <x:c r="Z361" s="68"/>
    </x:row>
    <x:row r="362">
      <x:c r="A362" s="68"/>
      <x:c r="B362" s="68"/>
      <x:c r="C362" s="68"/>
      <x:c r="D362" s="68"/>
      <x:c r="E362" s="68"/>
      <x:c r="F362" s="68"/>
      <x:c r="G362" s="68"/>
      <x:c r="H362" s="68"/>
      <x:c r="I362" s="68"/>
      <x:c r="J362" s="68"/>
      <x:c r="K362" s="68"/>
      <x:c r="L362" s="68"/>
      <x:c r="M362" s="68"/>
      <x:c r="N362" s="68"/>
      <x:c r="O362" s="68"/>
      <x:c r="P362" s="68"/>
      <x:c r="Q362" s="68"/>
      <x:c r="R362" s="68"/>
      <x:c r="S362" s="68"/>
      <x:c r="T362" s="68"/>
      <x:c r="U362" s="68"/>
      <x:c r="V362" s="68"/>
      <x:c r="W362" s="68"/>
      <x:c r="X362" s="68"/>
      <x:c r="Y362" s="68"/>
      <x:c r="Z362" s="68"/>
    </x:row>
    <x:row r="363">
      <x:c r="A363" s="68"/>
      <x:c r="B363" s="68"/>
      <x:c r="C363" s="68"/>
      <x:c r="D363" s="68"/>
      <x:c r="E363" s="68"/>
      <x:c r="F363" s="68"/>
      <x:c r="G363" s="68"/>
      <x:c r="H363" s="68"/>
      <x:c r="I363" s="68"/>
      <x:c r="J363" s="68"/>
      <x:c r="K363" s="68"/>
      <x:c r="L363" s="68"/>
      <x:c r="M363" s="68"/>
      <x:c r="N363" s="68"/>
      <x:c r="O363" s="68"/>
      <x:c r="P363" s="68"/>
      <x:c r="Q363" s="68"/>
      <x:c r="R363" s="68"/>
      <x:c r="S363" s="68"/>
      <x:c r="T363" s="68"/>
      <x:c r="U363" s="68"/>
      <x:c r="V363" s="68"/>
      <x:c r="W363" s="68"/>
      <x:c r="X363" s="68"/>
      <x:c r="Y363" s="68"/>
      <x:c r="Z363" s="68"/>
    </x:row>
    <x:row r="364">
      <x:c r="A364" s="68"/>
      <x:c r="B364" s="68"/>
      <x:c r="C364" s="68"/>
      <x:c r="D364" s="68"/>
      <x:c r="E364" s="68"/>
      <x:c r="F364" s="68"/>
      <x:c r="G364" s="68"/>
      <x:c r="H364" s="68"/>
      <x:c r="I364" s="68"/>
      <x:c r="J364" s="68"/>
      <x:c r="K364" s="68"/>
      <x:c r="L364" s="68"/>
      <x:c r="M364" s="68"/>
      <x:c r="N364" s="68"/>
      <x:c r="O364" s="68"/>
      <x:c r="P364" s="68"/>
      <x:c r="Q364" s="68"/>
      <x:c r="R364" s="68"/>
      <x:c r="S364" s="68"/>
      <x:c r="T364" s="68"/>
      <x:c r="U364" s="68"/>
      <x:c r="V364" s="68"/>
      <x:c r="W364" s="68"/>
      <x:c r="X364" s="68"/>
      <x:c r="Y364" s="68"/>
      <x:c r="Z364" s="68"/>
    </x:row>
    <x:row r="365">
      <x:c r="A365" s="68"/>
      <x:c r="B365" s="68"/>
      <x:c r="C365" s="68"/>
      <x:c r="D365" s="68"/>
      <x:c r="E365" s="68"/>
      <x:c r="F365" s="68"/>
      <x:c r="G365" s="68"/>
      <x:c r="H365" s="68"/>
      <x:c r="I365" s="68"/>
      <x:c r="J365" s="68"/>
      <x:c r="K365" s="68"/>
      <x:c r="L365" s="68"/>
      <x:c r="M365" s="68"/>
      <x:c r="N365" s="68"/>
      <x:c r="O365" s="68"/>
      <x:c r="P365" s="68"/>
      <x:c r="Q365" s="68"/>
      <x:c r="R365" s="68"/>
      <x:c r="S365" s="68"/>
      <x:c r="T365" s="68"/>
      <x:c r="U365" s="68"/>
      <x:c r="V365" s="68"/>
      <x:c r="W365" s="68"/>
      <x:c r="X365" s="68"/>
      <x:c r="Y365" s="68"/>
      <x:c r="Z365" s="68"/>
    </x:row>
    <x:row r="366">
      <x:c r="A366" s="68"/>
      <x:c r="B366" s="68"/>
      <x:c r="C366" s="68"/>
      <x:c r="D366" s="68"/>
      <x:c r="E366" s="68"/>
      <x:c r="F366" s="68"/>
      <x:c r="G366" s="68"/>
      <x:c r="H366" s="68"/>
      <x:c r="I366" s="68"/>
      <x:c r="J366" s="68"/>
      <x:c r="K366" s="68"/>
      <x:c r="L366" s="68"/>
      <x:c r="M366" s="68"/>
      <x:c r="N366" s="68"/>
      <x:c r="O366" s="68"/>
      <x:c r="P366" s="68"/>
      <x:c r="Q366" s="68"/>
      <x:c r="R366" s="68"/>
      <x:c r="S366" s="68"/>
      <x:c r="T366" s="68"/>
      <x:c r="U366" s="68"/>
      <x:c r="V366" s="68"/>
      <x:c r="W366" s="68"/>
      <x:c r="X366" s="68"/>
      <x:c r="Y366" s="68"/>
      <x:c r="Z366" s="68"/>
    </x:row>
    <x:row r="367">
      <x:c r="A367" s="68"/>
      <x:c r="B367" s="68"/>
      <x:c r="C367" s="68"/>
      <x:c r="D367" s="68"/>
      <x:c r="E367" s="68"/>
      <x:c r="F367" s="68"/>
      <x:c r="G367" s="68"/>
      <x:c r="H367" s="68"/>
      <x:c r="I367" s="68"/>
      <x:c r="J367" s="68"/>
      <x:c r="K367" s="68"/>
      <x:c r="L367" s="68"/>
      <x:c r="M367" s="68"/>
      <x:c r="N367" s="68"/>
      <x:c r="O367" s="68"/>
      <x:c r="P367" s="68"/>
      <x:c r="Q367" s="68"/>
      <x:c r="R367" s="68"/>
      <x:c r="S367" s="68"/>
      <x:c r="T367" s="68"/>
      <x:c r="U367" s="68"/>
      <x:c r="V367" s="68"/>
      <x:c r="W367" s="68"/>
      <x:c r="X367" s="68"/>
      <x:c r="Y367" s="68"/>
      <x:c r="Z367" s="68"/>
    </x:row>
    <x:row r="368">
      <x:c r="A368" s="68"/>
      <x:c r="B368" s="68"/>
      <x:c r="C368" s="68"/>
      <x:c r="D368" s="68"/>
      <x:c r="E368" s="68"/>
      <x:c r="F368" s="68"/>
      <x:c r="G368" s="68"/>
      <x:c r="H368" s="68"/>
      <x:c r="I368" s="68"/>
      <x:c r="J368" s="68"/>
      <x:c r="K368" s="68"/>
      <x:c r="L368" s="68"/>
      <x:c r="M368" s="68"/>
      <x:c r="N368" s="68"/>
      <x:c r="O368" s="68"/>
      <x:c r="P368" s="68"/>
      <x:c r="Q368" s="68"/>
      <x:c r="R368" s="68"/>
      <x:c r="S368" s="68"/>
      <x:c r="T368" s="68"/>
      <x:c r="U368" s="68"/>
      <x:c r="V368" s="68"/>
      <x:c r="W368" s="68"/>
      <x:c r="X368" s="68"/>
      <x:c r="Y368" s="68"/>
      <x:c r="Z368" s="68"/>
    </x:row>
    <x:row r="369">
      <x:c r="A369" s="68"/>
      <x:c r="B369" s="68"/>
      <x:c r="C369" s="68"/>
      <x:c r="D369" s="68"/>
      <x:c r="E369" s="68"/>
      <x:c r="F369" s="68"/>
      <x:c r="G369" s="68"/>
      <x:c r="H369" s="68"/>
      <x:c r="I369" s="68"/>
      <x:c r="J369" s="68"/>
      <x:c r="K369" s="68"/>
      <x:c r="L369" s="68"/>
      <x:c r="M369" s="68"/>
      <x:c r="N369" s="68"/>
      <x:c r="O369" s="68"/>
      <x:c r="P369" s="68"/>
      <x:c r="Q369" s="68"/>
      <x:c r="R369" s="68"/>
      <x:c r="S369" s="68"/>
      <x:c r="T369" s="68"/>
      <x:c r="U369" s="68"/>
      <x:c r="V369" s="68"/>
      <x:c r="W369" s="68"/>
      <x:c r="X369" s="68"/>
      <x:c r="Y369" s="68"/>
      <x:c r="Z369" s="68"/>
    </x:row>
    <x:row r="370">
      <x:c r="A370" s="68"/>
      <x:c r="B370" s="68"/>
      <x:c r="C370" s="68"/>
      <x:c r="D370" s="68"/>
      <x:c r="E370" s="68"/>
      <x:c r="F370" s="68"/>
      <x:c r="G370" s="68"/>
      <x:c r="H370" s="68"/>
      <x:c r="I370" s="68"/>
      <x:c r="J370" s="68"/>
      <x:c r="K370" s="68"/>
      <x:c r="L370" s="68"/>
      <x:c r="M370" s="68"/>
      <x:c r="N370" s="68"/>
      <x:c r="O370" s="68"/>
      <x:c r="P370" s="68"/>
      <x:c r="Q370" s="68"/>
      <x:c r="R370" s="68"/>
      <x:c r="S370" s="68"/>
      <x:c r="T370" s="68"/>
      <x:c r="U370" s="68"/>
      <x:c r="V370" s="68"/>
      <x:c r="W370" s="68"/>
      <x:c r="X370" s="68"/>
      <x:c r="Y370" s="68"/>
      <x:c r="Z370" s="68"/>
    </x:row>
    <x:row r="371">
      <x:c r="A371" s="68"/>
      <x:c r="B371" s="68"/>
      <x:c r="C371" s="68"/>
      <x:c r="D371" s="68"/>
      <x:c r="E371" s="68"/>
      <x:c r="F371" s="68"/>
      <x:c r="G371" s="68"/>
      <x:c r="H371" s="68"/>
      <x:c r="I371" s="68"/>
      <x:c r="J371" s="68"/>
      <x:c r="K371" s="68"/>
      <x:c r="L371" s="68"/>
      <x:c r="M371" s="68"/>
      <x:c r="N371" s="68"/>
      <x:c r="O371" s="68"/>
      <x:c r="P371" s="68"/>
      <x:c r="Q371" s="68"/>
      <x:c r="R371" s="68"/>
      <x:c r="S371" s="68"/>
      <x:c r="T371" s="68"/>
      <x:c r="U371" s="68"/>
      <x:c r="V371" s="68"/>
      <x:c r="W371" s="68"/>
      <x:c r="X371" s="68"/>
      <x:c r="Y371" s="68"/>
      <x:c r="Z371" s="68"/>
    </x:row>
    <x:row r="372">
      <x:c r="A372" s="68"/>
      <x:c r="B372" s="68"/>
      <x:c r="C372" s="68"/>
      <x:c r="D372" s="68"/>
      <x:c r="E372" s="68"/>
      <x:c r="F372" s="68"/>
      <x:c r="G372" s="68"/>
      <x:c r="H372" s="68"/>
      <x:c r="I372" s="68"/>
      <x:c r="J372" s="68"/>
      <x:c r="K372" s="68"/>
      <x:c r="L372" s="68"/>
      <x:c r="M372" s="68"/>
      <x:c r="N372" s="68"/>
      <x:c r="O372" s="68"/>
      <x:c r="P372" s="68"/>
      <x:c r="Q372" s="68"/>
      <x:c r="R372" s="68"/>
      <x:c r="S372" s="68"/>
      <x:c r="T372" s="68"/>
      <x:c r="U372" s="68"/>
      <x:c r="V372" s="68"/>
      <x:c r="W372" s="68"/>
      <x:c r="X372" s="68"/>
      <x:c r="Y372" s="68"/>
      <x:c r="Z372" s="68"/>
    </x:row>
    <x:row r="373">
      <x:c r="A373" s="68"/>
      <x:c r="B373" s="68"/>
      <x:c r="C373" s="68"/>
      <x:c r="D373" s="68"/>
      <x:c r="E373" s="68"/>
      <x:c r="F373" s="68"/>
      <x:c r="G373" s="68"/>
      <x:c r="H373" s="68"/>
      <x:c r="I373" s="68"/>
      <x:c r="J373" s="68"/>
      <x:c r="K373" s="68"/>
      <x:c r="L373" s="68"/>
      <x:c r="M373" s="68"/>
      <x:c r="N373" s="68"/>
      <x:c r="O373" s="68"/>
      <x:c r="P373" s="68"/>
      <x:c r="Q373" s="68"/>
      <x:c r="R373" s="68"/>
      <x:c r="S373" s="68"/>
      <x:c r="T373" s="68"/>
      <x:c r="U373" s="68"/>
      <x:c r="V373" s="68"/>
      <x:c r="W373" s="68"/>
      <x:c r="X373" s="68"/>
      <x:c r="Y373" s="68"/>
      <x:c r="Z373" s="68"/>
    </x:row>
    <x:row r="374">
      <x:c r="A374" s="68"/>
      <x:c r="B374" s="68"/>
      <x:c r="C374" s="68"/>
      <x:c r="D374" s="68"/>
      <x:c r="E374" s="68"/>
      <x:c r="F374" s="68"/>
      <x:c r="G374" s="68"/>
      <x:c r="H374" s="68"/>
      <x:c r="I374" s="68"/>
      <x:c r="J374" s="68"/>
      <x:c r="K374" s="68"/>
      <x:c r="L374" s="68"/>
      <x:c r="M374" s="68"/>
      <x:c r="N374" s="68"/>
      <x:c r="O374" s="68"/>
      <x:c r="P374" s="68"/>
      <x:c r="Q374" s="68"/>
      <x:c r="R374" s="68"/>
      <x:c r="S374" s="68"/>
      <x:c r="T374" s="68"/>
      <x:c r="U374" s="68"/>
      <x:c r="V374" s="68"/>
      <x:c r="W374" s="68"/>
      <x:c r="X374" s="68"/>
      <x:c r="Y374" s="68"/>
      <x:c r="Z374" s="68"/>
    </x:row>
    <x:row r="375">
      <x:c r="A375" s="68"/>
      <x:c r="B375" s="68"/>
      <x:c r="C375" s="68"/>
      <x:c r="D375" s="68"/>
      <x:c r="E375" s="68"/>
      <x:c r="F375" s="68"/>
      <x:c r="G375" s="68"/>
      <x:c r="H375" s="68"/>
      <x:c r="I375" s="68"/>
      <x:c r="J375" s="68"/>
      <x:c r="K375" s="68"/>
      <x:c r="L375" s="68"/>
      <x:c r="M375" s="68"/>
      <x:c r="N375" s="68"/>
      <x:c r="O375" s="68"/>
      <x:c r="P375" s="68"/>
      <x:c r="Q375" s="68"/>
      <x:c r="R375" s="68"/>
      <x:c r="S375" s="68"/>
      <x:c r="T375" s="68"/>
      <x:c r="U375" s="68"/>
      <x:c r="V375" s="68"/>
      <x:c r="W375" s="68"/>
      <x:c r="X375" s="68"/>
      <x:c r="Y375" s="68"/>
      <x:c r="Z375" s="68"/>
    </x:row>
    <x:row r="376">
      <x:c r="A376" s="68"/>
      <x:c r="B376" s="68"/>
      <x:c r="C376" s="68"/>
      <x:c r="D376" s="68"/>
      <x:c r="E376" s="68"/>
      <x:c r="F376" s="68"/>
      <x:c r="G376" s="68"/>
      <x:c r="H376" s="68"/>
      <x:c r="I376" s="68"/>
      <x:c r="J376" s="68"/>
      <x:c r="K376" s="68"/>
      <x:c r="L376" s="68"/>
      <x:c r="M376" s="68"/>
      <x:c r="N376" s="68"/>
      <x:c r="O376" s="68"/>
      <x:c r="P376" s="68"/>
      <x:c r="Q376" s="68"/>
      <x:c r="R376" s="68"/>
      <x:c r="S376" s="68"/>
      <x:c r="T376" s="68"/>
      <x:c r="U376" s="68"/>
      <x:c r="V376" s="68"/>
      <x:c r="W376" s="68"/>
      <x:c r="X376" s="68"/>
      <x:c r="Y376" s="68"/>
      <x:c r="Z376" s="68"/>
    </x:row>
    <x:row r="377">
      <x:c r="A377" s="68"/>
      <x:c r="B377" s="68"/>
      <x:c r="C377" s="68"/>
      <x:c r="D377" s="68"/>
      <x:c r="E377" s="68"/>
      <x:c r="F377" s="68"/>
      <x:c r="G377" s="68"/>
      <x:c r="H377" s="68"/>
      <x:c r="I377" s="68"/>
      <x:c r="J377" s="68"/>
      <x:c r="K377" s="68"/>
      <x:c r="L377" s="68"/>
      <x:c r="M377" s="68"/>
      <x:c r="N377" s="68"/>
      <x:c r="O377" s="68"/>
      <x:c r="P377" s="68"/>
      <x:c r="Q377" s="68"/>
      <x:c r="R377" s="68"/>
      <x:c r="S377" s="68"/>
      <x:c r="T377" s="68"/>
      <x:c r="U377" s="68"/>
      <x:c r="V377" s="68"/>
      <x:c r="W377" s="68"/>
      <x:c r="X377" s="68"/>
      <x:c r="Y377" s="68"/>
      <x:c r="Z377" s="68"/>
    </x:row>
    <x:row r="378">
      <x:c r="A378" s="68"/>
      <x:c r="B378" s="68"/>
      <x:c r="C378" s="68"/>
      <x:c r="D378" s="68"/>
      <x:c r="E378" s="68"/>
      <x:c r="F378" s="68"/>
      <x:c r="G378" s="68"/>
      <x:c r="H378" s="68"/>
      <x:c r="I378" s="68"/>
      <x:c r="J378" s="68"/>
      <x:c r="K378" s="68"/>
      <x:c r="L378" s="68"/>
      <x:c r="M378" s="68"/>
      <x:c r="N378" s="68"/>
      <x:c r="O378" s="68"/>
      <x:c r="P378" s="68"/>
      <x:c r="Q378" s="68"/>
      <x:c r="R378" s="68"/>
      <x:c r="S378" s="68"/>
      <x:c r="T378" s="68"/>
      <x:c r="U378" s="68"/>
      <x:c r="V378" s="68"/>
      <x:c r="W378" s="68"/>
      <x:c r="X378" s="68"/>
      <x:c r="Y378" s="68"/>
      <x:c r="Z378" s="68"/>
    </x:row>
    <x:row r="379">
      <x:c r="A379" s="68"/>
      <x:c r="B379" s="68"/>
      <x:c r="C379" s="68"/>
      <x:c r="D379" s="68"/>
      <x:c r="E379" s="68"/>
      <x:c r="F379" s="68"/>
      <x:c r="G379" s="68"/>
      <x:c r="H379" s="68"/>
      <x:c r="I379" s="68"/>
      <x:c r="J379" s="68"/>
      <x:c r="K379" s="68"/>
      <x:c r="L379" s="68"/>
      <x:c r="M379" s="68"/>
      <x:c r="N379" s="68"/>
      <x:c r="O379" s="68"/>
      <x:c r="P379" s="68"/>
      <x:c r="Q379" s="68"/>
      <x:c r="R379" s="68"/>
      <x:c r="S379" s="68"/>
      <x:c r="T379" s="68"/>
      <x:c r="U379" s="68"/>
      <x:c r="V379" s="68"/>
      <x:c r="W379" s="68"/>
      <x:c r="X379" s="68"/>
      <x:c r="Y379" s="68"/>
      <x:c r="Z379" s="68"/>
    </x:row>
    <x:row r="380">
      <x:c r="A380" s="68"/>
      <x:c r="B380" s="68"/>
      <x:c r="C380" s="68"/>
      <x:c r="D380" s="68"/>
      <x:c r="E380" s="68"/>
      <x:c r="F380" s="68"/>
      <x:c r="G380" s="68"/>
      <x:c r="H380" s="68"/>
      <x:c r="I380" s="68"/>
      <x:c r="J380" s="68"/>
      <x:c r="K380" s="68"/>
      <x:c r="L380" s="68"/>
      <x:c r="M380" s="68"/>
      <x:c r="N380" s="68"/>
      <x:c r="O380" s="68"/>
      <x:c r="P380" s="68"/>
      <x:c r="Q380" s="68"/>
      <x:c r="R380" s="68"/>
      <x:c r="S380" s="68"/>
      <x:c r="T380" s="68"/>
      <x:c r="U380" s="68"/>
      <x:c r="V380" s="68"/>
      <x:c r="W380" s="68"/>
      <x:c r="X380" s="68"/>
      <x:c r="Y380" s="68"/>
      <x:c r="Z380" s="68"/>
    </x:row>
    <x:row r="381">
      <x:c r="A381" s="68"/>
      <x:c r="B381" s="68"/>
      <x:c r="C381" s="68"/>
      <x:c r="D381" s="68"/>
      <x:c r="E381" s="68"/>
      <x:c r="F381" s="68"/>
      <x:c r="G381" s="68"/>
      <x:c r="H381" s="68"/>
      <x:c r="I381" s="68"/>
      <x:c r="J381" s="68"/>
      <x:c r="K381" s="68"/>
      <x:c r="L381" s="68"/>
      <x:c r="M381" s="68"/>
      <x:c r="N381" s="68"/>
      <x:c r="O381" s="68"/>
      <x:c r="P381" s="68"/>
      <x:c r="Q381" s="68"/>
      <x:c r="R381" s="68"/>
      <x:c r="S381" s="68"/>
      <x:c r="T381" s="68"/>
      <x:c r="U381" s="68"/>
      <x:c r="V381" s="68"/>
      <x:c r="W381" s="68"/>
      <x:c r="X381" s="68"/>
      <x:c r="Y381" s="68"/>
      <x:c r="Z381" s="68"/>
    </x:row>
    <x:row r="382">
      <x:c r="A382" s="68"/>
      <x:c r="B382" s="68"/>
      <x:c r="C382" s="68"/>
      <x:c r="D382" s="68"/>
      <x:c r="E382" s="68"/>
      <x:c r="F382" s="68"/>
      <x:c r="G382" s="68"/>
      <x:c r="H382" s="68"/>
      <x:c r="I382" s="68"/>
      <x:c r="J382" s="68"/>
      <x:c r="K382" s="68"/>
      <x:c r="L382" s="68"/>
      <x:c r="M382" s="68"/>
      <x:c r="N382" s="68"/>
      <x:c r="O382" s="68"/>
      <x:c r="P382" s="68"/>
      <x:c r="Q382" s="68"/>
      <x:c r="R382" s="68"/>
      <x:c r="S382" s="68"/>
      <x:c r="T382" s="68"/>
      <x:c r="U382" s="68"/>
      <x:c r="V382" s="68"/>
      <x:c r="W382" s="68"/>
      <x:c r="X382" s="68"/>
      <x:c r="Y382" s="68"/>
      <x:c r="Z382" s="68"/>
    </x:row>
    <x:row r="383">
      <x:c r="A383" s="68"/>
      <x:c r="B383" s="68"/>
      <x:c r="C383" s="68"/>
      <x:c r="D383" s="68"/>
      <x:c r="E383" s="68"/>
      <x:c r="F383" s="68"/>
      <x:c r="G383" s="68"/>
      <x:c r="H383" s="68"/>
      <x:c r="I383" s="68"/>
      <x:c r="J383" s="68"/>
      <x:c r="K383" s="68"/>
      <x:c r="L383" s="68"/>
      <x:c r="M383" s="68"/>
      <x:c r="N383" s="68"/>
      <x:c r="O383" s="68"/>
      <x:c r="P383" s="68"/>
      <x:c r="Q383" s="68"/>
      <x:c r="R383" s="68"/>
      <x:c r="S383" s="68"/>
      <x:c r="T383" s="68"/>
      <x:c r="U383" s="68"/>
      <x:c r="V383" s="68"/>
      <x:c r="W383" s="68"/>
      <x:c r="X383" s="68"/>
      <x:c r="Y383" s="68"/>
      <x:c r="Z383" s="68"/>
    </x:row>
    <x:row r="384">
      <x:c r="A384" s="68"/>
      <x:c r="B384" s="68"/>
      <x:c r="C384" s="68"/>
      <x:c r="D384" s="68"/>
      <x:c r="E384" s="68"/>
      <x:c r="F384" s="68"/>
      <x:c r="G384" s="68"/>
      <x:c r="H384" s="68"/>
      <x:c r="I384" s="68"/>
      <x:c r="J384" s="68"/>
      <x:c r="K384" s="68"/>
      <x:c r="L384" s="68"/>
      <x:c r="M384" s="68"/>
      <x:c r="N384" s="68"/>
      <x:c r="O384" s="68"/>
      <x:c r="P384" s="68"/>
      <x:c r="Q384" s="68"/>
      <x:c r="R384" s="68"/>
      <x:c r="S384" s="68"/>
      <x:c r="T384" s="68"/>
      <x:c r="U384" s="68"/>
      <x:c r="V384" s="68"/>
      <x:c r="W384" s="68"/>
      <x:c r="X384" s="68"/>
      <x:c r="Y384" s="68"/>
      <x:c r="Z384" s="68"/>
    </x:row>
    <x:row r="385">
      <x:c r="A385" s="68"/>
      <x:c r="B385" s="68"/>
      <x:c r="C385" s="68"/>
      <x:c r="D385" s="68"/>
      <x:c r="E385" s="68"/>
      <x:c r="F385" s="68"/>
      <x:c r="G385" s="68"/>
      <x:c r="H385" s="68"/>
      <x:c r="I385" s="68"/>
      <x:c r="J385" s="68"/>
      <x:c r="K385" s="68"/>
      <x:c r="L385" s="68"/>
      <x:c r="M385" s="68"/>
      <x:c r="N385" s="68"/>
      <x:c r="O385" s="68"/>
      <x:c r="P385" s="68"/>
      <x:c r="Q385" s="68"/>
      <x:c r="R385" s="68"/>
      <x:c r="S385" s="68"/>
      <x:c r="T385" s="68"/>
      <x:c r="U385" s="68"/>
      <x:c r="V385" s="68"/>
      <x:c r="W385" s="68"/>
      <x:c r="X385" s="68"/>
      <x:c r="Y385" s="68"/>
      <x:c r="Z385" s="68"/>
    </x:row>
    <x:row r="386">
      <x:c r="A386" s="68"/>
      <x:c r="B386" s="68"/>
      <x:c r="C386" s="68"/>
      <x:c r="D386" s="68"/>
      <x:c r="E386" s="68"/>
      <x:c r="F386" s="68"/>
      <x:c r="G386" s="68"/>
      <x:c r="H386" s="68"/>
      <x:c r="I386" s="68"/>
      <x:c r="J386" s="68"/>
      <x:c r="K386" s="68"/>
      <x:c r="L386" s="68"/>
      <x:c r="M386" s="68"/>
      <x:c r="N386" s="68"/>
      <x:c r="O386" s="68"/>
      <x:c r="P386" s="68"/>
      <x:c r="Q386" s="68"/>
      <x:c r="R386" s="68"/>
      <x:c r="S386" s="68"/>
      <x:c r="T386" s="68"/>
      <x:c r="U386" s="68"/>
      <x:c r="V386" s="68"/>
      <x:c r="W386" s="68"/>
      <x:c r="X386" s="68"/>
      <x:c r="Y386" s="68"/>
      <x:c r="Z386" s="68"/>
    </x:row>
    <x:row r="387">
      <x:c r="A387" s="68"/>
      <x:c r="B387" s="68"/>
      <x:c r="C387" s="68"/>
      <x:c r="D387" s="68"/>
      <x:c r="E387" s="68"/>
      <x:c r="F387" s="68"/>
      <x:c r="G387" s="68"/>
      <x:c r="H387" s="68"/>
      <x:c r="I387" s="68"/>
      <x:c r="J387" s="68"/>
      <x:c r="K387" s="68"/>
      <x:c r="L387" s="68"/>
      <x:c r="M387" s="68"/>
      <x:c r="N387" s="68"/>
      <x:c r="O387" s="68"/>
      <x:c r="P387" s="68"/>
      <x:c r="Q387" s="68"/>
      <x:c r="R387" s="68"/>
      <x:c r="S387" s="68"/>
      <x:c r="T387" s="68"/>
      <x:c r="U387" s="68"/>
      <x:c r="V387" s="68"/>
      <x:c r="W387" s="68"/>
      <x:c r="X387" s="68"/>
      <x:c r="Y387" s="68"/>
      <x:c r="Z387" s="68"/>
    </x:row>
    <x:row r="388">
      <x:c r="A388" s="68"/>
      <x:c r="B388" s="68"/>
      <x:c r="C388" s="68"/>
      <x:c r="D388" s="68"/>
      <x:c r="E388" s="68"/>
      <x:c r="F388" s="68"/>
      <x:c r="G388" s="68"/>
      <x:c r="H388" s="68"/>
      <x:c r="I388" s="68"/>
      <x:c r="J388" s="68"/>
      <x:c r="K388" s="68"/>
      <x:c r="L388" s="68"/>
      <x:c r="M388" s="68"/>
      <x:c r="N388" s="68"/>
      <x:c r="O388" s="68"/>
      <x:c r="P388" s="68"/>
      <x:c r="Q388" s="68"/>
      <x:c r="R388" s="68"/>
      <x:c r="S388" s="68"/>
      <x:c r="T388" s="68"/>
      <x:c r="U388" s="68"/>
      <x:c r="V388" s="68"/>
      <x:c r="W388" s="68"/>
      <x:c r="X388" s="68"/>
      <x:c r="Y388" s="68"/>
      <x:c r="Z388" s="68"/>
    </x:row>
    <x:row r="389">
      <x:c r="A389" s="68"/>
      <x:c r="B389" s="68"/>
      <x:c r="C389" s="68"/>
      <x:c r="D389" s="68"/>
      <x:c r="E389" s="68"/>
      <x:c r="F389" s="68"/>
      <x:c r="G389" s="68"/>
      <x:c r="H389" s="68"/>
      <x:c r="I389" s="68"/>
      <x:c r="J389" s="68"/>
      <x:c r="K389" s="68"/>
      <x:c r="L389" s="68"/>
      <x:c r="M389" s="68"/>
      <x:c r="N389" s="68"/>
      <x:c r="O389" s="68"/>
      <x:c r="P389" s="68"/>
      <x:c r="Q389" s="68"/>
      <x:c r="R389" s="68"/>
      <x:c r="S389" s="68"/>
      <x:c r="T389" s="68"/>
      <x:c r="U389" s="68"/>
      <x:c r="V389" s="68"/>
      <x:c r="W389" s="68"/>
      <x:c r="X389" s="68"/>
      <x:c r="Y389" s="68"/>
      <x:c r="Z389" s="68"/>
    </x:row>
    <x:row r="390">
      <x:c r="A390" s="68"/>
      <x:c r="B390" s="68"/>
      <x:c r="C390" s="68"/>
      <x:c r="D390" s="68"/>
      <x:c r="E390" s="68"/>
      <x:c r="F390" s="68"/>
      <x:c r="G390" s="68"/>
      <x:c r="H390" s="68"/>
      <x:c r="I390" s="68"/>
      <x:c r="J390" s="68"/>
      <x:c r="K390" s="68"/>
      <x:c r="L390" s="68"/>
      <x:c r="M390" s="68"/>
      <x:c r="N390" s="68"/>
      <x:c r="O390" s="68"/>
      <x:c r="P390" s="68"/>
      <x:c r="Q390" s="68"/>
      <x:c r="R390" s="68"/>
      <x:c r="S390" s="68"/>
      <x:c r="T390" s="68"/>
      <x:c r="U390" s="68"/>
      <x:c r="V390" s="68"/>
      <x:c r="W390" s="68"/>
      <x:c r="X390" s="68"/>
      <x:c r="Y390" s="68"/>
      <x:c r="Z390" s="68"/>
    </x:row>
    <x:row r="391">
      <x:c r="A391" s="68"/>
      <x:c r="B391" s="68"/>
      <x:c r="C391" s="68"/>
      <x:c r="D391" s="68"/>
      <x:c r="E391" s="68"/>
      <x:c r="F391" s="68"/>
      <x:c r="G391" s="68"/>
      <x:c r="H391" s="68"/>
      <x:c r="I391" s="68"/>
      <x:c r="J391" s="68"/>
      <x:c r="K391" s="68"/>
      <x:c r="L391" s="68"/>
      <x:c r="M391" s="68"/>
      <x:c r="N391" s="68"/>
      <x:c r="O391" s="68"/>
      <x:c r="P391" s="68"/>
      <x:c r="Q391" s="68"/>
      <x:c r="R391" s="68"/>
      <x:c r="S391" s="68"/>
      <x:c r="T391" s="68"/>
      <x:c r="U391" s="68"/>
      <x:c r="V391" s="68"/>
      <x:c r="W391" s="68"/>
      <x:c r="X391" s="68"/>
      <x:c r="Y391" s="68"/>
      <x:c r="Z391" s="68"/>
    </x:row>
    <x:row r="392">
      <x:c r="A392" s="68"/>
      <x:c r="B392" s="68"/>
      <x:c r="C392" s="68"/>
      <x:c r="D392" s="68"/>
      <x:c r="E392" s="68"/>
      <x:c r="F392" s="68"/>
      <x:c r="G392" s="68"/>
      <x:c r="H392" s="68"/>
      <x:c r="I392" s="68"/>
      <x:c r="J392" s="68"/>
      <x:c r="K392" s="68"/>
      <x:c r="L392" s="68"/>
      <x:c r="M392" s="68"/>
      <x:c r="N392" s="68"/>
      <x:c r="O392" s="68"/>
      <x:c r="P392" s="68"/>
      <x:c r="Q392" s="68"/>
      <x:c r="R392" s="68"/>
      <x:c r="S392" s="68"/>
      <x:c r="T392" s="68"/>
      <x:c r="U392" s="68"/>
      <x:c r="V392" s="68"/>
      <x:c r="W392" s="68"/>
      <x:c r="X392" s="68"/>
      <x:c r="Y392" s="68"/>
      <x:c r="Z392" s="68"/>
    </x:row>
    <x:row r="393">
      <x:c r="A393" s="68"/>
      <x:c r="B393" s="68"/>
      <x:c r="C393" s="68"/>
      <x:c r="D393" s="68"/>
      <x:c r="E393" s="68"/>
      <x:c r="F393" s="68"/>
      <x:c r="G393" s="68"/>
      <x:c r="H393" s="68"/>
      <x:c r="I393" s="68"/>
      <x:c r="J393" s="68"/>
      <x:c r="K393" s="68"/>
      <x:c r="L393" s="68"/>
      <x:c r="M393" s="68"/>
      <x:c r="N393" s="68"/>
      <x:c r="O393" s="68"/>
      <x:c r="P393" s="68"/>
      <x:c r="Q393" s="68"/>
      <x:c r="R393" s="68"/>
      <x:c r="S393" s="68"/>
      <x:c r="T393" s="68"/>
      <x:c r="U393" s="68"/>
      <x:c r="V393" s="68"/>
      <x:c r="W393" s="68"/>
      <x:c r="X393" s="68"/>
      <x:c r="Y393" s="68"/>
      <x:c r="Z393" s="68"/>
    </x:row>
    <x:row r="394">
      <x:c r="A394" s="68"/>
      <x:c r="B394" s="68"/>
      <x:c r="C394" s="68"/>
      <x:c r="D394" s="68"/>
      <x:c r="E394" s="68"/>
      <x:c r="F394" s="68"/>
      <x:c r="G394" s="68"/>
      <x:c r="H394" s="68"/>
      <x:c r="I394" s="68"/>
      <x:c r="J394" s="68"/>
      <x:c r="K394" s="68"/>
      <x:c r="L394" s="68"/>
      <x:c r="M394" s="68"/>
      <x:c r="N394" s="68"/>
      <x:c r="O394" s="68"/>
      <x:c r="P394" s="68"/>
      <x:c r="Q394" s="68"/>
      <x:c r="R394" s="68"/>
      <x:c r="S394" s="68"/>
      <x:c r="T394" s="68"/>
      <x:c r="U394" s="68"/>
      <x:c r="V394" s="68"/>
      <x:c r="W394" s="68"/>
      <x:c r="X394" s="68"/>
      <x:c r="Y394" s="68"/>
      <x:c r="Z394" s="68"/>
    </x:row>
    <x:row r="395">
      <x:c r="A395" s="68"/>
      <x:c r="B395" s="68"/>
      <x:c r="C395" s="68"/>
      <x:c r="D395" s="68"/>
      <x:c r="E395" s="68"/>
      <x:c r="F395" s="68"/>
      <x:c r="G395" s="68"/>
      <x:c r="H395" s="68"/>
      <x:c r="I395" s="68"/>
      <x:c r="J395" s="68"/>
      <x:c r="K395" s="68"/>
      <x:c r="L395" s="68"/>
      <x:c r="M395" s="68"/>
      <x:c r="N395" s="68"/>
      <x:c r="O395" s="68"/>
      <x:c r="P395" s="68"/>
      <x:c r="Q395" s="68"/>
      <x:c r="R395" s="68"/>
      <x:c r="S395" s="68"/>
      <x:c r="T395" s="68"/>
      <x:c r="U395" s="68"/>
      <x:c r="V395" s="68"/>
      <x:c r="W395" s="68"/>
      <x:c r="X395" s="68"/>
      <x:c r="Y395" s="68"/>
      <x:c r="Z395" s="68"/>
    </x:row>
    <x:row r="396">
      <x:c r="A396" s="68"/>
      <x:c r="B396" s="68"/>
      <x:c r="C396" s="68"/>
      <x:c r="D396" s="68"/>
      <x:c r="E396" s="68"/>
      <x:c r="F396" s="68"/>
      <x:c r="G396" s="68"/>
      <x:c r="H396" s="68"/>
      <x:c r="I396" s="68"/>
      <x:c r="J396" s="68"/>
      <x:c r="K396" s="68"/>
      <x:c r="L396" s="68"/>
      <x:c r="M396" s="68"/>
      <x:c r="N396" s="68"/>
      <x:c r="O396" s="68"/>
      <x:c r="P396" s="68"/>
      <x:c r="Q396" s="68"/>
      <x:c r="R396" s="68"/>
      <x:c r="S396" s="68"/>
      <x:c r="T396" s="68"/>
      <x:c r="U396" s="68"/>
      <x:c r="V396" s="68"/>
      <x:c r="W396" s="68"/>
      <x:c r="X396" s="68"/>
      <x:c r="Y396" s="68"/>
      <x:c r="Z396" s="68"/>
    </x:row>
    <x:row r="397">
      <x:c r="A397" s="68"/>
      <x:c r="B397" s="68"/>
      <x:c r="C397" s="68"/>
      <x:c r="D397" s="68"/>
      <x:c r="E397" s="68"/>
      <x:c r="F397" s="68"/>
      <x:c r="G397" s="68"/>
      <x:c r="H397" s="68"/>
      <x:c r="I397" s="68"/>
      <x:c r="J397" s="68"/>
      <x:c r="K397" s="68"/>
      <x:c r="L397" s="68"/>
      <x:c r="M397" s="68"/>
      <x:c r="N397" s="68"/>
      <x:c r="O397" s="68"/>
      <x:c r="P397" s="68"/>
      <x:c r="Q397" s="68"/>
      <x:c r="R397" s="68"/>
      <x:c r="S397" s="68"/>
      <x:c r="T397" s="68"/>
      <x:c r="U397" s="68"/>
      <x:c r="V397" s="68"/>
      <x:c r="W397" s="68"/>
      <x:c r="X397" s="68"/>
      <x:c r="Y397" s="68"/>
      <x:c r="Z397" s="68"/>
    </x:row>
    <x:row r="398">
      <x:c r="A398" s="68"/>
      <x:c r="B398" s="68"/>
      <x:c r="C398" s="68"/>
      <x:c r="D398" s="68"/>
      <x:c r="E398" s="68"/>
      <x:c r="F398" s="68"/>
      <x:c r="G398" s="68"/>
      <x:c r="H398" s="68"/>
      <x:c r="I398" s="68"/>
      <x:c r="J398" s="68"/>
      <x:c r="K398" s="68"/>
      <x:c r="L398" s="68"/>
      <x:c r="M398" s="68"/>
      <x:c r="N398" s="68"/>
      <x:c r="O398" s="68"/>
      <x:c r="P398" s="68"/>
      <x:c r="Q398" s="68"/>
      <x:c r="R398" s="68"/>
      <x:c r="S398" s="68"/>
      <x:c r="T398" s="68"/>
      <x:c r="U398" s="68"/>
      <x:c r="V398" s="68"/>
      <x:c r="W398" s="68"/>
      <x:c r="X398" s="68"/>
      <x:c r="Y398" s="68"/>
      <x:c r="Z398" s="68"/>
    </x:row>
    <x:row r="399">
      <x:c r="A399" s="68"/>
      <x:c r="B399" s="68"/>
      <x:c r="C399" s="68"/>
      <x:c r="D399" s="68"/>
      <x:c r="E399" s="68"/>
      <x:c r="F399" s="68"/>
      <x:c r="G399" s="68"/>
      <x:c r="H399" s="68"/>
      <x:c r="I399" s="68"/>
      <x:c r="J399" s="68"/>
      <x:c r="K399" s="68"/>
      <x:c r="L399" s="68"/>
      <x:c r="M399" s="68"/>
      <x:c r="N399" s="68"/>
      <x:c r="O399" s="68"/>
      <x:c r="P399" s="68"/>
      <x:c r="Q399" s="68"/>
      <x:c r="R399" s="68"/>
      <x:c r="S399" s="68"/>
      <x:c r="T399" s="68"/>
      <x:c r="U399" s="68"/>
      <x:c r="V399" s="68"/>
      <x:c r="W399" s="68"/>
      <x:c r="X399" s="68"/>
      <x:c r="Y399" s="68"/>
      <x:c r="Z399" s="68"/>
    </x:row>
    <x:row r="400">
      <x:c r="A400" s="68"/>
      <x:c r="B400" s="68"/>
      <x:c r="C400" s="68"/>
      <x:c r="D400" s="68"/>
      <x:c r="E400" s="68"/>
      <x:c r="F400" s="68"/>
      <x:c r="G400" s="68"/>
      <x:c r="H400" s="68"/>
      <x:c r="I400" s="68"/>
      <x:c r="J400" s="68"/>
      <x:c r="K400" s="68"/>
      <x:c r="L400" s="68"/>
      <x:c r="M400" s="68"/>
      <x:c r="N400" s="68"/>
      <x:c r="O400" s="68"/>
      <x:c r="P400" s="68"/>
      <x:c r="Q400" s="68"/>
      <x:c r="R400" s="68"/>
      <x:c r="S400" s="68"/>
      <x:c r="T400" s="68"/>
      <x:c r="U400" s="68"/>
      <x:c r="V400" s="68"/>
      <x:c r="W400" s="68"/>
      <x:c r="X400" s="68"/>
      <x:c r="Y400" s="68"/>
      <x:c r="Z400" s="68"/>
    </x:row>
    <x:row r="401">
      <x:c r="A401" s="68"/>
      <x:c r="B401" s="68"/>
      <x:c r="C401" s="68"/>
      <x:c r="D401" s="68"/>
      <x:c r="E401" s="68"/>
      <x:c r="F401" s="68"/>
      <x:c r="G401" s="68"/>
      <x:c r="H401" s="68"/>
      <x:c r="I401" s="68"/>
      <x:c r="J401" s="68"/>
      <x:c r="K401" s="68"/>
      <x:c r="L401" s="68"/>
      <x:c r="M401" s="68"/>
      <x:c r="N401" s="68"/>
      <x:c r="O401" s="68"/>
      <x:c r="P401" s="68"/>
      <x:c r="Q401" s="68"/>
      <x:c r="R401" s="68"/>
      <x:c r="S401" s="68"/>
      <x:c r="T401" s="68"/>
      <x:c r="U401" s="68"/>
      <x:c r="V401" s="68"/>
      <x:c r="W401" s="68"/>
      <x:c r="X401" s="68"/>
      <x:c r="Y401" s="68"/>
      <x:c r="Z401" s="68"/>
    </x:row>
    <x:row r="402">
      <x:c r="A402" s="68"/>
      <x:c r="B402" s="68"/>
      <x:c r="C402" s="68"/>
      <x:c r="D402" s="68"/>
      <x:c r="E402" s="68"/>
      <x:c r="F402" s="68"/>
      <x:c r="G402" s="68"/>
      <x:c r="H402" s="68"/>
      <x:c r="I402" s="68"/>
      <x:c r="J402" s="68"/>
      <x:c r="K402" s="68"/>
      <x:c r="L402" s="68"/>
      <x:c r="M402" s="68"/>
      <x:c r="N402" s="68"/>
      <x:c r="O402" s="68"/>
      <x:c r="P402" s="68"/>
      <x:c r="Q402" s="68"/>
      <x:c r="R402" s="68"/>
      <x:c r="S402" s="68"/>
      <x:c r="T402" s="68"/>
      <x:c r="U402" s="68"/>
      <x:c r="V402" s="68"/>
      <x:c r="W402" s="68"/>
      <x:c r="X402" s="68"/>
      <x:c r="Y402" s="68"/>
      <x:c r="Z402" s="68"/>
    </x:row>
    <x:row r="403">
      <x:c r="A403" s="68"/>
      <x:c r="B403" s="68"/>
      <x:c r="C403" s="68"/>
      <x:c r="D403" s="68"/>
      <x:c r="E403" s="68"/>
      <x:c r="F403" s="68"/>
      <x:c r="G403" s="68"/>
      <x:c r="H403" s="68"/>
      <x:c r="I403" s="68"/>
      <x:c r="J403" s="68"/>
      <x:c r="K403" s="68"/>
      <x:c r="L403" s="68"/>
      <x:c r="M403" s="68"/>
      <x:c r="N403" s="68"/>
      <x:c r="O403" s="68"/>
      <x:c r="P403" s="68"/>
      <x:c r="Q403" s="68"/>
      <x:c r="R403" s="68"/>
      <x:c r="S403" s="68"/>
      <x:c r="T403" s="68"/>
      <x:c r="U403" s="68"/>
      <x:c r="V403" s="68"/>
      <x:c r="W403" s="68"/>
      <x:c r="X403" s="68"/>
      <x:c r="Y403" s="68"/>
      <x:c r="Z403" s="68"/>
    </x:row>
    <x:row r="404">
      <x:c r="A404" s="68"/>
      <x:c r="B404" s="68"/>
      <x:c r="C404" s="68"/>
      <x:c r="D404" s="68"/>
      <x:c r="E404" s="68"/>
      <x:c r="F404" s="68"/>
      <x:c r="G404" s="68"/>
      <x:c r="H404" s="68"/>
      <x:c r="I404" s="68"/>
      <x:c r="J404" s="68"/>
      <x:c r="K404" s="68"/>
      <x:c r="L404" s="68"/>
      <x:c r="M404" s="68"/>
      <x:c r="N404" s="68"/>
      <x:c r="O404" s="68"/>
      <x:c r="P404" s="68"/>
      <x:c r="Q404" s="68"/>
      <x:c r="R404" s="68"/>
      <x:c r="S404" s="68"/>
      <x:c r="T404" s="68"/>
      <x:c r="U404" s="68"/>
      <x:c r="V404" s="68"/>
      <x:c r="W404" s="68"/>
      <x:c r="X404" s="68"/>
      <x:c r="Y404" s="68"/>
      <x:c r="Z404" s="68"/>
    </x:row>
    <x:row r="405">
      <x:c r="A405" s="68"/>
      <x:c r="B405" s="68"/>
      <x:c r="C405" s="68"/>
      <x:c r="D405" s="68"/>
      <x:c r="E405" s="68"/>
      <x:c r="F405" s="68"/>
      <x:c r="G405" s="68"/>
      <x:c r="H405" s="68"/>
      <x:c r="I405" s="68"/>
      <x:c r="J405" s="68"/>
      <x:c r="K405" s="68"/>
      <x:c r="L405" s="68"/>
      <x:c r="M405" s="68"/>
      <x:c r="N405" s="68"/>
      <x:c r="O405" s="68"/>
      <x:c r="P405" s="68"/>
      <x:c r="Q405" s="68"/>
      <x:c r="R405" s="68"/>
      <x:c r="S405" s="68"/>
      <x:c r="T405" s="68"/>
      <x:c r="U405" s="68"/>
      <x:c r="V405" s="68"/>
      <x:c r="W405" s="68"/>
      <x:c r="X405" s="68"/>
      <x:c r="Y405" s="68"/>
      <x:c r="Z405" s="68"/>
    </x:row>
    <x:row r="406">
      <x:c r="A406" s="68"/>
      <x:c r="B406" s="68"/>
      <x:c r="C406" s="68"/>
      <x:c r="D406" s="68"/>
      <x:c r="E406" s="68"/>
      <x:c r="F406" s="68"/>
      <x:c r="G406" s="68"/>
      <x:c r="H406" s="68"/>
      <x:c r="I406" s="68"/>
      <x:c r="J406" s="68"/>
      <x:c r="K406" s="68"/>
      <x:c r="L406" s="68"/>
      <x:c r="M406" s="68"/>
      <x:c r="N406" s="68"/>
      <x:c r="O406" s="68"/>
      <x:c r="P406" s="68"/>
      <x:c r="Q406" s="68"/>
      <x:c r="R406" s="68"/>
      <x:c r="S406" s="68"/>
      <x:c r="T406" s="68"/>
      <x:c r="U406" s="68"/>
      <x:c r="V406" s="68"/>
      <x:c r="W406" s="68"/>
      <x:c r="X406" s="68"/>
      <x:c r="Y406" s="68"/>
      <x:c r="Z406" s="68"/>
    </x:row>
    <x:row r="407">
      <x:c r="A407" s="68"/>
      <x:c r="B407" s="68"/>
      <x:c r="C407" s="68"/>
      <x:c r="D407" s="68"/>
      <x:c r="E407" s="68"/>
      <x:c r="F407" s="68"/>
      <x:c r="G407" s="68"/>
      <x:c r="H407" s="68"/>
      <x:c r="I407" s="68"/>
      <x:c r="J407" s="68"/>
      <x:c r="K407" s="68"/>
      <x:c r="L407" s="68"/>
      <x:c r="M407" s="68"/>
      <x:c r="N407" s="68"/>
      <x:c r="O407" s="68"/>
      <x:c r="P407" s="68"/>
      <x:c r="Q407" s="68"/>
      <x:c r="R407" s="68"/>
      <x:c r="S407" s="68"/>
      <x:c r="T407" s="68"/>
      <x:c r="U407" s="68"/>
      <x:c r="V407" s="68"/>
      <x:c r="W407" s="68"/>
      <x:c r="X407" s="68"/>
      <x:c r="Y407" s="68"/>
      <x:c r="Z407" s="68"/>
    </x:row>
    <x:row r="408">
      <x:c r="A408" s="68"/>
      <x:c r="B408" s="68"/>
      <x:c r="C408" s="68"/>
      <x:c r="D408" s="68"/>
      <x:c r="E408" s="68"/>
      <x:c r="F408" s="68"/>
      <x:c r="G408" s="68"/>
      <x:c r="H408" s="68"/>
      <x:c r="I408" s="68"/>
      <x:c r="J408" s="68"/>
      <x:c r="K408" s="68"/>
      <x:c r="L408" s="68"/>
      <x:c r="M408" s="68"/>
      <x:c r="N408" s="68"/>
      <x:c r="O408" s="68"/>
      <x:c r="P408" s="68"/>
      <x:c r="Q408" s="68"/>
      <x:c r="R408" s="68"/>
      <x:c r="S408" s="68"/>
      <x:c r="T408" s="68"/>
      <x:c r="U408" s="68"/>
      <x:c r="V408" s="68"/>
      <x:c r="W408" s="68"/>
      <x:c r="X408" s="68"/>
      <x:c r="Y408" s="68"/>
      <x:c r="Z408" s="68"/>
    </x:row>
    <x:row r="409">
      <x:c r="A409" s="68"/>
      <x:c r="B409" s="68"/>
      <x:c r="C409" s="68"/>
      <x:c r="D409" s="68"/>
      <x:c r="E409" s="68"/>
      <x:c r="F409" s="68"/>
      <x:c r="G409" s="68"/>
      <x:c r="H409" s="68"/>
      <x:c r="I409" s="68"/>
      <x:c r="J409" s="68"/>
      <x:c r="K409" s="68"/>
      <x:c r="L409" s="68"/>
      <x:c r="M409" s="68"/>
      <x:c r="N409" s="68"/>
      <x:c r="O409" s="68"/>
      <x:c r="P409" s="68"/>
      <x:c r="Q409" s="68"/>
      <x:c r="R409" s="68"/>
      <x:c r="S409" s="68"/>
      <x:c r="T409" s="68"/>
      <x:c r="U409" s="68"/>
      <x:c r="V409" s="68"/>
      <x:c r="W409" s="68"/>
      <x:c r="X409" s="68"/>
      <x:c r="Y409" s="68"/>
      <x:c r="Z409" s="68"/>
    </x:row>
    <x:row r="410">
      <x:c r="A410" s="68"/>
      <x:c r="B410" s="68"/>
      <x:c r="C410" s="68"/>
      <x:c r="D410" s="68"/>
      <x:c r="E410" s="68"/>
      <x:c r="F410" s="68"/>
      <x:c r="G410" s="68"/>
      <x:c r="H410" s="68"/>
      <x:c r="I410" s="68"/>
      <x:c r="J410" s="68"/>
      <x:c r="K410" s="68"/>
      <x:c r="L410" s="68"/>
      <x:c r="M410" s="68"/>
      <x:c r="N410" s="68"/>
      <x:c r="O410" s="68"/>
      <x:c r="P410" s="68"/>
      <x:c r="Q410" s="68"/>
      <x:c r="R410" s="68"/>
      <x:c r="S410" s="68"/>
      <x:c r="T410" s="68"/>
      <x:c r="U410" s="68"/>
      <x:c r="V410" s="68"/>
      <x:c r="W410" s="68"/>
      <x:c r="X410" s="68"/>
      <x:c r="Y410" s="68"/>
      <x:c r="Z410" s="68"/>
    </x:row>
    <x:row r="411">
      <x:c r="A411" s="68"/>
      <x:c r="B411" s="68"/>
      <x:c r="C411" s="68"/>
      <x:c r="D411" s="68"/>
      <x:c r="E411" s="68"/>
      <x:c r="F411" s="68"/>
      <x:c r="G411" s="68"/>
      <x:c r="H411" s="68"/>
      <x:c r="I411" s="68"/>
      <x:c r="J411" s="68"/>
      <x:c r="K411" s="68"/>
      <x:c r="L411" s="68"/>
      <x:c r="M411" s="68"/>
      <x:c r="N411" s="68"/>
      <x:c r="O411" s="68"/>
      <x:c r="P411" s="68"/>
      <x:c r="Q411" s="68"/>
      <x:c r="R411" s="68"/>
      <x:c r="S411" s="68"/>
      <x:c r="T411" s="68"/>
      <x:c r="U411" s="68"/>
      <x:c r="V411" s="68"/>
      <x:c r="W411" s="68"/>
      <x:c r="X411" s="68"/>
      <x:c r="Y411" s="68"/>
      <x:c r="Z411" s="68"/>
    </x:row>
    <x:row r="412">
      <x:c r="A412" s="68"/>
      <x:c r="B412" s="68"/>
      <x:c r="C412" s="68"/>
      <x:c r="D412" s="68"/>
      <x:c r="E412" s="68"/>
      <x:c r="F412" s="68"/>
      <x:c r="G412" s="68"/>
      <x:c r="H412" s="68"/>
      <x:c r="I412" s="68"/>
      <x:c r="J412" s="68"/>
      <x:c r="K412" s="68"/>
      <x:c r="L412" s="68"/>
      <x:c r="M412" s="68"/>
      <x:c r="N412" s="68"/>
      <x:c r="O412" s="68"/>
      <x:c r="P412" s="68"/>
      <x:c r="Q412" s="68"/>
      <x:c r="R412" s="68"/>
      <x:c r="S412" s="68"/>
      <x:c r="T412" s="68"/>
      <x:c r="U412" s="68"/>
      <x:c r="V412" s="68"/>
      <x:c r="W412" s="68"/>
      <x:c r="X412" s="68"/>
      <x:c r="Y412" s="68"/>
      <x:c r="Z412" s="68"/>
    </x:row>
    <x:row r="413">
      <x:c r="A413" s="68"/>
      <x:c r="B413" s="68"/>
      <x:c r="C413" s="68"/>
      <x:c r="D413" s="68"/>
      <x:c r="E413" s="68"/>
      <x:c r="F413" s="68"/>
      <x:c r="G413" s="68"/>
      <x:c r="H413" s="68"/>
      <x:c r="I413" s="68"/>
      <x:c r="J413" s="68"/>
      <x:c r="K413" s="68"/>
      <x:c r="L413" s="68"/>
      <x:c r="M413" s="68"/>
      <x:c r="N413" s="68"/>
      <x:c r="O413" s="68"/>
      <x:c r="P413" s="68"/>
      <x:c r="Q413" s="68"/>
      <x:c r="R413" s="68"/>
      <x:c r="S413" s="68"/>
      <x:c r="T413" s="68"/>
      <x:c r="U413" s="68"/>
      <x:c r="V413" s="68"/>
      <x:c r="W413" s="68"/>
      <x:c r="X413" s="68"/>
      <x:c r="Y413" s="68"/>
      <x:c r="Z413" s="68"/>
    </x:row>
    <x:row r="414">
      <x:c r="A414" s="68"/>
      <x:c r="B414" s="68"/>
      <x:c r="C414" s="68"/>
      <x:c r="D414" s="68"/>
      <x:c r="E414" s="68"/>
      <x:c r="F414" s="68"/>
      <x:c r="G414" s="68"/>
      <x:c r="H414" s="68"/>
      <x:c r="I414" s="68"/>
      <x:c r="J414" s="68"/>
      <x:c r="K414" s="68"/>
      <x:c r="L414" s="68"/>
      <x:c r="M414" s="68"/>
      <x:c r="N414" s="68"/>
      <x:c r="O414" s="68"/>
      <x:c r="P414" s="68"/>
      <x:c r="Q414" s="68"/>
      <x:c r="R414" s="68"/>
      <x:c r="S414" s="68"/>
      <x:c r="T414" s="68"/>
      <x:c r="U414" s="68"/>
      <x:c r="V414" s="68"/>
      <x:c r="W414" s="68"/>
      <x:c r="X414" s="68"/>
      <x:c r="Y414" s="68"/>
      <x:c r="Z414" s="68"/>
    </x:row>
    <x:row r="415">
      <x:c r="A415" s="68"/>
      <x:c r="B415" s="68"/>
      <x:c r="C415" s="68"/>
      <x:c r="D415" s="68"/>
      <x:c r="E415" s="68"/>
      <x:c r="F415" s="68"/>
      <x:c r="G415" s="68"/>
      <x:c r="H415" s="68"/>
      <x:c r="I415" s="68"/>
      <x:c r="J415" s="68"/>
      <x:c r="K415" s="68"/>
      <x:c r="L415" s="68"/>
      <x:c r="M415" s="68"/>
      <x:c r="N415" s="68"/>
      <x:c r="O415" s="68"/>
      <x:c r="P415" s="68"/>
      <x:c r="Q415" s="68"/>
      <x:c r="R415" s="68"/>
      <x:c r="S415" s="68"/>
      <x:c r="T415" s="68"/>
      <x:c r="U415" s="68"/>
      <x:c r="V415" s="68"/>
      <x:c r="W415" s="68"/>
      <x:c r="X415" s="68"/>
      <x:c r="Y415" s="68"/>
      <x:c r="Z415" s="68"/>
    </x:row>
    <x:row r="416">
      <x:c r="A416" s="68"/>
      <x:c r="B416" s="68"/>
      <x:c r="C416" s="68"/>
      <x:c r="D416" s="68"/>
      <x:c r="E416" s="68"/>
      <x:c r="F416" s="68"/>
      <x:c r="G416" s="68"/>
      <x:c r="H416" s="68"/>
      <x:c r="I416" s="68"/>
      <x:c r="J416" s="68"/>
      <x:c r="K416" s="68"/>
      <x:c r="L416" s="68"/>
      <x:c r="M416" s="68"/>
      <x:c r="N416" s="68"/>
      <x:c r="O416" s="68"/>
      <x:c r="P416" s="68"/>
      <x:c r="Q416" s="68"/>
      <x:c r="R416" s="68"/>
      <x:c r="S416" s="68"/>
      <x:c r="T416" s="68"/>
      <x:c r="U416" s="68"/>
      <x:c r="V416" s="68"/>
      <x:c r="W416" s="68"/>
      <x:c r="X416" s="68"/>
      <x:c r="Y416" s="68"/>
      <x:c r="Z416" s="68"/>
    </x:row>
    <x:row r="417">
      <x:c r="A417" s="68"/>
      <x:c r="B417" s="68"/>
      <x:c r="C417" s="68"/>
      <x:c r="D417" s="68"/>
      <x:c r="E417" s="68"/>
      <x:c r="F417" s="68"/>
      <x:c r="G417" s="68"/>
      <x:c r="H417" s="68"/>
      <x:c r="I417" s="68"/>
      <x:c r="J417" s="68"/>
      <x:c r="K417" s="68"/>
      <x:c r="L417" s="68"/>
      <x:c r="M417" s="68"/>
      <x:c r="N417" s="68"/>
      <x:c r="O417" s="68"/>
      <x:c r="P417" s="68"/>
      <x:c r="Q417" s="68"/>
      <x:c r="R417" s="68"/>
      <x:c r="S417" s="68"/>
      <x:c r="T417" s="68"/>
      <x:c r="U417" s="68"/>
      <x:c r="V417" s="68"/>
      <x:c r="W417" s="68"/>
      <x:c r="X417" s="68"/>
      <x:c r="Y417" s="68"/>
      <x:c r="Z417" s="68"/>
    </x:row>
    <x:row r="418">
      <x:c r="A418" s="68"/>
      <x:c r="B418" s="68"/>
      <x:c r="C418" s="68"/>
      <x:c r="D418" s="68"/>
      <x:c r="E418" s="68"/>
      <x:c r="F418" s="68"/>
      <x:c r="G418" s="68"/>
      <x:c r="H418" s="68"/>
      <x:c r="I418" s="68"/>
      <x:c r="J418" s="68"/>
      <x:c r="K418" s="68"/>
      <x:c r="L418" s="68"/>
      <x:c r="M418" s="68"/>
      <x:c r="N418" s="68"/>
      <x:c r="O418" s="68"/>
      <x:c r="P418" s="68"/>
      <x:c r="Q418" s="68"/>
      <x:c r="R418" s="68"/>
      <x:c r="S418" s="68"/>
      <x:c r="T418" s="68"/>
      <x:c r="U418" s="68"/>
      <x:c r="V418" s="68"/>
      <x:c r="W418" s="68"/>
      <x:c r="X418" s="68"/>
      <x:c r="Y418" s="68"/>
      <x:c r="Z418" s="68"/>
    </x:row>
    <x:row r="419">
      <x:c r="A419" s="68"/>
      <x:c r="B419" s="68"/>
      <x:c r="C419" s="68"/>
      <x:c r="D419" s="68"/>
      <x:c r="E419" s="68"/>
      <x:c r="F419" s="68"/>
      <x:c r="G419" s="68"/>
      <x:c r="H419" s="68"/>
      <x:c r="I419" s="68"/>
      <x:c r="J419" s="68"/>
      <x:c r="K419" s="68"/>
      <x:c r="L419" s="68"/>
      <x:c r="M419" s="68"/>
      <x:c r="N419" s="68"/>
      <x:c r="O419" s="68"/>
      <x:c r="P419" s="68"/>
      <x:c r="Q419" s="68"/>
      <x:c r="R419" s="68"/>
      <x:c r="S419" s="68"/>
      <x:c r="T419" s="68"/>
      <x:c r="U419" s="68"/>
      <x:c r="V419" s="68"/>
      <x:c r="W419" s="68"/>
      <x:c r="X419" s="68"/>
      <x:c r="Y419" s="68"/>
      <x:c r="Z419" s="68"/>
    </x:row>
    <x:row r="420">
      <x:c r="A420" s="68"/>
      <x:c r="B420" s="68"/>
      <x:c r="C420" s="68"/>
      <x:c r="D420" s="68"/>
      <x:c r="E420" s="68"/>
      <x:c r="F420" s="68"/>
      <x:c r="G420" s="68"/>
      <x:c r="H420" s="68"/>
      <x:c r="I420" s="68"/>
      <x:c r="J420" s="68"/>
      <x:c r="K420" s="68"/>
      <x:c r="L420" s="68"/>
      <x:c r="M420" s="68"/>
      <x:c r="N420" s="68"/>
      <x:c r="O420" s="68"/>
      <x:c r="P420" s="68"/>
      <x:c r="Q420" s="68"/>
      <x:c r="R420" s="68"/>
      <x:c r="S420" s="68"/>
      <x:c r="T420" s="68"/>
      <x:c r="U420" s="68"/>
      <x:c r="V420" s="68"/>
      <x:c r="W420" s="68"/>
      <x:c r="X420" s="68"/>
      <x:c r="Y420" s="68"/>
      <x:c r="Z420" s="68"/>
    </x:row>
    <x:row r="421">
      <x:c r="A421" s="68"/>
      <x:c r="B421" s="68"/>
      <x:c r="C421" s="68"/>
      <x:c r="D421" s="68"/>
      <x:c r="E421" s="68"/>
      <x:c r="F421" s="68"/>
      <x:c r="G421" s="68"/>
      <x:c r="H421" s="68"/>
      <x:c r="I421" s="68"/>
      <x:c r="J421" s="68"/>
      <x:c r="K421" s="68"/>
      <x:c r="L421" s="68"/>
      <x:c r="M421" s="68"/>
      <x:c r="N421" s="68"/>
      <x:c r="O421" s="68"/>
      <x:c r="P421" s="68"/>
      <x:c r="Q421" s="68"/>
      <x:c r="R421" s="68"/>
      <x:c r="S421" s="68"/>
      <x:c r="T421" s="68"/>
      <x:c r="U421" s="68"/>
      <x:c r="V421" s="68"/>
      <x:c r="W421" s="68"/>
      <x:c r="X421" s="68"/>
      <x:c r="Y421" s="68"/>
      <x:c r="Z421" s="68"/>
    </x:row>
    <x:row r="422">
      <x:c r="A422" s="68"/>
      <x:c r="B422" s="68"/>
      <x:c r="C422" s="68"/>
      <x:c r="D422" s="68"/>
      <x:c r="E422" s="68"/>
      <x:c r="F422" s="68"/>
      <x:c r="G422" s="68"/>
      <x:c r="H422" s="68"/>
      <x:c r="I422" s="68"/>
      <x:c r="J422" s="68"/>
      <x:c r="K422" s="68"/>
      <x:c r="L422" s="68"/>
      <x:c r="M422" s="68"/>
      <x:c r="N422" s="68"/>
      <x:c r="O422" s="68"/>
      <x:c r="P422" s="68"/>
      <x:c r="Q422" s="68"/>
      <x:c r="R422" s="68"/>
      <x:c r="S422" s="68"/>
      <x:c r="T422" s="68"/>
      <x:c r="U422" s="68"/>
      <x:c r="V422" s="68"/>
      <x:c r="W422" s="68"/>
      <x:c r="X422" s="68"/>
      <x:c r="Y422" s="68"/>
      <x:c r="Z422" s="68"/>
    </x:row>
    <x:row r="423">
      <x:c r="A423" s="68"/>
      <x:c r="B423" s="68"/>
      <x:c r="C423" s="68"/>
      <x:c r="D423" s="68"/>
      <x:c r="E423" s="68"/>
      <x:c r="F423" s="68"/>
      <x:c r="G423" s="68"/>
      <x:c r="H423" s="68"/>
      <x:c r="I423" s="68"/>
      <x:c r="J423" s="68"/>
      <x:c r="K423" s="68"/>
      <x:c r="L423" s="68"/>
      <x:c r="M423" s="68"/>
      <x:c r="N423" s="68"/>
      <x:c r="O423" s="68"/>
      <x:c r="P423" s="68"/>
      <x:c r="Q423" s="68"/>
      <x:c r="R423" s="68"/>
      <x:c r="S423" s="68"/>
      <x:c r="T423" s="68"/>
      <x:c r="U423" s="68"/>
      <x:c r="V423" s="68"/>
      <x:c r="W423" s="68"/>
      <x:c r="X423" s="68"/>
      <x:c r="Y423" s="68"/>
      <x:c r="Z423" s="68"/>
    </x:row>
    <x:row r="424">
      <x:c r="A424" s="68"/>
      <x:c r="B424" s="68"/>
      <x:c r="C424" s="68"/>
      <x:c r="D424" s="68"/>
      <x:c r="E424" s="68"/>
      <x:c r="F424" s="68"/>
      <x:c r="G424" s="68"/>
      <x:c r="H424" s="68"/>
      <x:c r="I424" s="68"/>
      <x:c r="J424" s="68"/>
      <x:c r="K424" s="68"/>
      <x:c r="L424" s="68"/>
      <x:c r="M424" s="68"/>
      <x:c r="N424" s="68"/>
      <x:c r="O424" s="68"/>
      <x:c r="P424" s="68"/>
      <x:c r="Q424" s="68"/>
      <x:c r="R424" s="68"/>
      <x:c r="S424" s="68"/>
      <x:c r="T424" s="68"/>
      <x:c r="U424" s="68"/>
      <x:c r="V424" s="68"/>
      <x:c r="W424" s="68"/>
      <x:c r="X424" s="68"/>
      <x:c r="Y424" s="68"/>
      <x:c r="Z424" s="68"/>
    </x:row>
    <x:row r="425">
      <x:c r="A425" s="68"/>
      <x:c r="B425" s="68"/>
      <x:c r="C425" s="68"/>
      <x:c r="D425" s="68"/>
      <x:c r="E425" s="68"/>
      <x:c r="F425" s="68"/>
      <x:c r="G425" s="68"/>
      <x:c r="H425" s="68"/>
      <x:c r="I425" s="68"/>
      <x:c r="J425" s="68"/>
      <x:c r="K425" s="68"/>
      <x:c r="L425" s="68"/>
      <x:c r="M425" s="68"/>
      <x:c r="N425" s="68"/>
      <x:c r="O425" s="68"/>
      <x:c r="P425" s="68"/>
      <x:c r="Q425" s="68"/>
      <x:c r="R425" s="68"/>
      <x:c r="S425" s="68"/>
      <x:c r="T425" s="68"/>
      <x:c r="U425" s="68"/>
      <x:c r="V425" s="68"/>
      <x:c r="W425" s="68"/>
      <x:c r="X425" s="68"/>
      <x:c r="Y425" s="68"/>
      <x:c r="Z425" s="68"/>
    </x:row>
    <x:row r="426">
      <x:c r="A426" s="68"/>
      <x:c r="B426" s="68"/>
      <x:c r="C426" s="68"/>
      <x:c r="D426" s="68"/>
      <x:c r="E426" s="68"/>
      <x:c r="F426" s="68"/>
      <x:c r="G426" s="68"/>
      <x:c r="H426" s="68"/>
      <x:c r="I426" s="68"/>
      <x:c r="J426" s="68"/>
      <x:c r="K426" s="68"/>
      <x:c r="L426" s="68"/>
      <x:c r="M426" s="68"/>
      <x:c r="N426" s="68"/>
      <x:c r="O426" s="68"/>
      <x:c r="P426" s="68"/>
      <x:c r="Q426" s="68"/>
      <x:c r="R426" s="68"/>
      <x:c r="S426" s="68"/>
      <x:c r="T426" s="68"/>
      <x:c r="U426" s="68"/>
      <x:c r="V426" s="68"/>
      <x:c r="W426" s="68"/>
      <x:c r="X426" s="68"/>
      <x:c r="Y426" s="68"/>
      <x:c r="Z426" s="68"/>
    </x:row>
    <x:row r="427">
      <x:c r="A427" s="68"/>
      <x:c r="B427" s="68"/>
      <x:c r="C427" s="68"/>
      <x:c r="D427" s="68"/>
      <x:c r="E427" s="68"/>
      <x:c r="F427" s="68"/>
      <x:c r="G427" s="68"/>
      <x:c r="H427" s="68"/>
      <x:c r="I427" s="68"/>
      <x:c r="J427" s="68"/>
      <x:c r="K427" s="68"/>
      <x:c r="L427" s="68"/>
      <x:c r="M427" s="68"/>
      <x:c r="N427" s="68"/>
      <x:c r="O427" s="68"/>
      <x:c r="P427" s="68"/>
      <x:c r="Q427" s="68"/>
      <x:c r="R427" s="68"/>
      <x:c r="S427" s="68"/>
      <x:c r="T427" s="68"/>
      <x:c r="U427" s="68"/>
      <x:c r="V427" s="68"/>
      <x:c r="W427" s="68"/>
      <x:c r="X427" s="68"/>
      <x:c r="Y427" s="68"/>
      <x:c r="Z427" s="68"/>
    </x:row>
    <x:row r="428">
      <x:c r="A428" s="68"/>
      <x:c r="B428" s="68"/>
      <x:c r="C428" s="68"/>
      <x:c r="D428" s="68"/>
      <x:c r="E428" s="68"/>
      <x:c r="F428" s="68"/>
      <x:c r="G428" s="68"/>
      <x:c r="H428" s="68"/>
      <x:c r="I428" s="68"/>
      <x:c r="J428" s="68"/>
      <x:c r="K428" s="68"/>
      <x:c r="L428" s="68"/>
      <x:c r="M428" s="68"/>
      <x:c r="N428" s="68"/>
      <x:c r="O428" s="68"/>
      <x:c r="P428" s="68"/>
      <x:c r="Q428" s="68"/>
      <x:c r="R428" s="68"/>
      <x:c r="S428" s="68"/>
      <x:c r="T428" s="68"/>
      <x:c r="U428" s="68"/>
      <x:c r="V428" s="68"/>
      <x:c r="W428" s="68"/>
      <x:c r="X428" s="68"/>
      <x:c r="Y428" s="68"/>
      <x:c r="Z428" s="68"/>
    </x:row>
    <x:row r="429">
      <x:c r="A429" s="68"/>
      <x:c r="B429" s="68"/>
      <x:c r="C429" s="68"/>
      <x:c r="D429" s="68"/>
      <x:c r="E429" s="68"/>
      <x:c r="F429" s="68"/>
      <x:c r="G429" s="68"/>
      <x:c r="H429" s="68"/>
      <x:c r="I429" s="68"/>
      <x:c r="J429" s="68"/>
      <x:c r="K429" s="68"/>
      <x:c r="L429" s="68"/>
      <x:c r="M429" s="68"/>
      <x:c r="N429" s="68"/>
      <x:c r="O429" s="68"/>
      <x:c r="P429" s="68"/>
      <x:c r="Q429" s="68"/>
      <x:c r="R429" s="68"/>
      <x:c r="S429" s="68"/>
      <x:c r="T429" s="68"/>
      <x:c r="U429" s="68"/>
      <x:c r="V429" s="68"/>
      <x:c r="W429" s="68"/>
      <x:c r="X429" s="68"/>
      <x:c r="Y429" s="68"/>
      <x:c r="Z429" s="68"/>
    </x:row>
    <x:row r="430">
      <x:c r="A430" s="68"/>
      <x:c r="B430" s="68"/>
      <x:c r="C430" s="68"/>
      <x:c r="D430" s="68"/>
      <x:c r="E430" s="68"/>
      <x:c r="F430" s="68"/>
      <x:c r="G430" s="68"/>
      <x:c r="H430" s="68"/>
      <x:c r="I430" s="68"/>
      <x:c r="J430" s="68"/>
      <x:c r="K430" s="68"/>
      <x:c r="L430" s="68"/>
      <x:c r="M430" s="68"/>
      <x:c r="N430" s="68"/>
      <x:c r="O430" s="68"/>
      <x:c r="P430" s="68"/>
      <x:c r="Q430" s="68"/>
      <x:c r="R430" s="68"/>
      <x:c r="S430" s="68"/>
      <x:c r="T430" s="68"/>
      <x:c r="U430" s="68"/>
      <x:c r="V430" s="68"/>
      <x:c r="W430" s="68"/>
      <x:c r="X430" s="68"/>
      <x:c r="Y430" s="68"/>
      <x:c r="Z430" s="68"/>
    </x:row>
    <x:row r="431">
      <x:c r="A431" s="68"/>
      <x:c r="B431" s="68"/>
      <x:c r="C431" s="68"/>
      <x:c r="D431" s="68"/>
      <x:c r="E431" s="68"/>
      <x:c r="F431" s="68"/>
      <x:c r="G431" s="68"/>
      <x:c r="H431" s="68"/>
      <x:c r="I431" s="68"/>
      <x:c r="J431" s="68"/>
      <x:c r="K431" s="68"/>
      <x:c r="L431" s="68"/>
      <x:c r="M431" s="68"/>
      <x:c r="N431" s="68"/>
      <x:c r="O431" s="68"/>
      <x:c r="P431" s="68"/>
      <x:c r="Q431" s="68"/>
      <x:c r="R431" s="68"/>
      <x:c r="S431" s="68"/>
      <x:c r="T431" s="68"/>
      <x:c r="U431" s="68"/>
      <x:c r="V431" s="68"/>
      <x:c r="W431" s="68"/>
      <x:c r="X431" s="68"/>
      <x:c r="Y431" s="68"/>
      <x:c r="Z431" s="68"/>
    </x:row>
    <x:row r="432">
      <x:c r="A432" s="68"/>
      <x:c r="B432" s="68"/>
      <x:c r="C432" s="68"/>
      <x:c r="D432" s="68"/>
      <x:c r="E432" s="68"/>
      <x:c r="F432" s="68"/>
      <x:c r="G432" s="68"/>
      <x:c r="H432" s="68"/>
      <x:c r="I432" s="68"/>
      <x:c r="J432" s="68"/>
      <x:c r="K432" s="68"/>
      <x:c r="L432" s="68"/>
      <x:c r="M432" s="68"/>
      <x:c r="N432" s="68"/>
      <x:c r="O432" s="68"/>
      <x:c r="P432" s="68"/>
      <x:c r="Q432" s="68"/>
      <x:c r="R432" s="68"/>
      <x:c r="S432" s="68"/>
      <x:c r="T432" s="68"/>
      <x:c r="U432" s="68"/>
      <x:c r="V432" s="68"/>
      <x:c r="W432" s="68"/>
      <x:c r="X432" s="68"/>
      <x:c r="Y432" s="68"/>
      <x:c r="Z432" s="68"/>
    </x:row>
    <x:row r="433">
      <x:c r="A433" s="68"/>
      <x:c r="B433" s="68"/>
      <x:c r="C433" s="68"/>
      <x:c r="D433" s="68"/>
      <x:c r="E433" s="68"/>
      <x:c r="F433" s="68"/>
      <x:c r="G433" s="68"/>
      <x:c r="H433" s="68"/>
      <x:c r="I433" s="68"/>
      <x:c r="J433" s="68"/>
      <x:c r="K433" s="68"/>
      <x:c r="L433" s="68"/>
      <x:c r="M433" s="68"/>
      <x:c r="N433" s="68"/>
      <x:c r="O433" s="68"/>
      <x:c r="P433" s="68"/>
      <x:c r="Q433" s="68"/>
      <x:c r="R433" s="68"/>
      <x:c r="S433" s="68"/>
      <x:c r="T433" s="68"/>
      <x:c r="U433" s="68"/>
      <x:c r="V433" s="68"/>
      <x:c r="W433" s="68"/>
      <x:c r="X433" s="68"/>
      <x:c r="Y433" s="68"/>
      <x:c r="Z433" s="68"/>
    </x:row>
    <x:row r="434">
      <x:c r="A434" s="68"/>
      <x:c r="B434" s="68"/>
      <x:c r="C434" s="68"/>
      <x:c r="D434" s="68"/>
      <x:c r="E434" s="68"/>
      <x:c r="F434" s="68"/>
      <x:c r="G434" s="68"/>
      <x:c r="H434" s="68"/>
      <x:c r="I434" s="68"/>
      <x:c r="J434" s="68"/>
      <x:c r="K434" s="68"/>
      <x:c r="L434" s="68"/>
      <x:c r="M434" s="68"/>
      <x:c r="N434" s="68"/>
      <x:c r="O434" s="68"/>
      <x:c r="P434" s="68"/>
      <x:c r="Q434" s="68"/>
      <x:c r="R434" s="68"/>
      <x:c r="S434" s="68"/>
      <x:c r="T434" s="68"/>
      <x:c r="U434" s="68"/>
      <x:c r="V434" s="68"/>
      <x:c r="W434" s="68"/>
      <x:c r="X434" s="68"/>
      <x:c r="Y434" s="68"/>
      <x:c r="Z434" s="68"/>
    </x:row>
    <x:row r="435">
      <x:c r="A435" s="68"/>
      <x:c r="B435" s="68"/>
      <x:c r="C435" s="68"/>
      <x:c r="D435" s="68"/>
      <x:c r="E435" s="68"/>
      <x:c r="F435" s="68"/>
      <x:c r="G435" s="68"/>
      <x:c r="H435" s="68"/>
      <x:c r="I435" s="68"/>
      <x:c r="J435" s="68"/>
      <x:c r="K435" s="68"/>
      <x:c r="L435" s="68"/>
      <x:c r="M435" s="68"/>
      <x:c r="N435" s="68"/>
      <x:c r="O435" s="68"/>
      <x:c r="P435" s="68"/>
      <x:c r="Q435" s="68"/>
      <x:c r="R435" s="68"/>
      <x:c r="S435" s="68"/>
      <x:c r="T435" s="68"/>
      <x:c r="U435" s="68"/>
      <x:c r="V435" s="68"/>
      <x:c r="W435" s="68"/>
      <x:c r="X435" s="68"/>
      <x:c r="Y435" s="68"/>
      <x:c r="Z435" s="68"/>
    </x:row>
    <x:row r="436">
      <x:c r="A436" s="68"/>
      <x:c r="B436" s="68"/>
      <x:c r="C436" s="68"/>
      <x:c r="D436" s="68"/>
      <x:c r="E436" s="68"/>
      <x:c r="F436" s="68"/>
      <x:c r="G436" s="68"/>
      <x:c r="H436" s="68"/>
      <x:c r="I436" s="68"/>
      <x:c r="J436" s="68"/>
      <x:c r="K436" s="68"/>
      <x:c r="L436" s="68"/>
      <x:c r="M436" s="68"/>
      <x:c r="N436" s="68"/>
      <x:c r="O436" s="68"/>
      <x:c r="P436" s="68"/>
      <x:c r="Q436" s="68"/>
      <x:c r="R436" s="68"/>
      <x:c r="S436" s="68"/>
      <x:c r="T436" s="68"/>
      <x:c r="U436" s="68"/>
      <x:c r="V436" s="68"/>
      <x:c r="W436" s="68"/>
      <x:c r="X436" s="68"/>
      <x:c r="Y436" s="68"/>
      <x:c r="Z436" s="68"/>
    </x:row>
    <x:row r="437">
      <x:c r="A437" s="68"/>
      <x:c r="B437" s="68"/>
      <x:c r="C437" s="68"/>
      <x:c r="D437" s="68"/>
      <x:c r="E437" s="68"/>
      <x:c r="F437" s="68"/>
      <x:c r="G437" s="68"/>
      <x:c r="H437" s="68"/>
      <x:c r="I437" s="68"/>
      <x:c r="J437" s="68"/>
      <x:c r="K437" s="68"/>
      <x:c r="L437" s="68"/>
      <x:c r="M437" s="68"/>
      <x:c r="N437" s="68"/>
      <x:c r="O437" s="68"/>
      <x:c r="P437" s="68"/>
      <x:c r="Q437" s="68"/>
      <x:c r="R437" s="68"/>
      <x:c r="S437" s="68"/>
      <x:c r="T437" s="68"/>
      <x:c r="U437" s="68"/>
      <x:c r="V437" s="68"/>
      <x:c r="W437" s="68"/>
      <x:c r="X437" s="68"/>
      <x:c r="Y437" s="68"/>
      <x:c r="Z437" s="68"/>
    </x:row>
    <x:row r="438">
      <x:c r="A438" s="68"/>
      <x:c r="B438" s="68"/>
      <x:c r="C438" s="68"/>
      <x:c r="D438" s="68"/>
      <x:c r="E438" s="68"/>
      <x:c r="F438" s="68"/>
      <x:c r="G438" s="68"/>
      <x:c r="H438" s="68"/>
      <x:c r="I438" s="68"/>
      <x:c r="J438" s="68"/>
      <x:c r="K438" s="68"/>
      <x:c r="L438" s="68"/>
      <x:c r="M438" s="68"/>
      <x:c r="N438" s="68"/>
      <x:c r="O438" s="68"/>
      <x:c r="P438" s="68"/>
      <x:c r="Q438" s="68"/>
      <x:c r="R438" s="68"/>
      <x:c r="S438" s="68"/>
      <x:c r="T438" s="68"/>
      <x:c r="U438" s="68"/>
      <x:c r="V438" s="68"/>
      <x:c r="W438" s="68"/>
      <x:c r="X438" s="68"/>
      <x:c r="Y438" s="68"/>
      <x:c r="Z438" s="68"/>
    </x:row>
    <x:row r="439">
      <x:c r="A439" s="68"/>
      <x:c r="B439" s="68"/>
      <x:c r="C439" s="68"/>
      <x:c r="D439" s="68"/>
      <x:c r="E439" s="68"/>
      <x:c r="F439" s="68"/>
      <x:c r="G439" s="68"/>
      <x:c r="H439" s="68"/>
      <x:c r="I439" s="68"/>
      <x:c r="J439" s="68"/>
      <x:c r="K439" s="68"/>
      <x:c r="L439" s="68"/>
      <x:c r="M439" s="68"/>
      <x:c r="N439" s="68"/>
      <x:c r="O439" s="68"/>
      <x:c r="P439" s="68"/>
      <x:c r="Q439" s="68"/>
      <x:c r="R439" s="68"/>
      <x:c r="S439" s="68"/>
      <x:c r="T439" s="68"/>
      <x:c r="U439" s="68"/>
      <x:c r="V439" s="68"/>
      <x:c r="W439" s="68"/>
      <x:c r="X439" s="68"/>
      <x:c r="Y439" s="68"/>
      <x:c r="Z439" s="68"/>
    </x:row>
    <x:row r="440">
      <x:c r="A440" s="68"/>
      <x:c r="B440" s="68"/>
      <x:c r="C440" s="68"/>
      <x:c r="D440" s="68"/>
      <x:c r="E440" s="68"/>
      <x:c r="F440" s="68"/>
      <x:c r="G440" s="68"/>
      <x:c r="H440" s="68"/>
      <x:c r="I440" s="68"/>
      <x:c r="J440" s="68"/>
      <x:c r="K440" s="68"/>
      <x:c r="L440" s="68"/>
      <x:c r="M440" s="68"/>
      <x:c r="N440" s="68"/>
      <x:c r="O440" s="68"/>
      <x:c r="P440" s="68"/>
      <x:c r="Q440" s="68"/>
      <x:c r="R440" s="68"/>
      <x:c r="S440" s="68"/>
      <x:c r="T440" s="68"/>
      <x:c r="U440" s="68"/>
      <x:c r="V440" s="68"/>
      <x:c r="W440" s="68"/>
      <x:c r="X440" s="68"/>
      <x:c r="Y440" s="68"/>
      <x:c r="Z440" s="68"/>
    </x:row>
    <x:row r="441">
      <x:c r="A441" s="68"/>
      <x:c r="B441" s="68"/>
      <x:c r="C441" s="68"/>
      <x:c r="D441" s="68"/>
      <x:c r="E441" s="68"/>
      <x:c r="F441" s="68"/>
      <x:c r="G441" s="68"/>
      <x:c r="H441" s="68"/>
      <x:c r="I441" s="68"/>
      <x:c r="J441" s="68"/>
      <x:c r="K441" s="68"/>
      <x:c r="L441" s="68"/>
      <x:c r="M441" s="68"/>
      <x:c r="N441" s="68"/>
      <x:c r="O441" s="68"/>
      <x:c r="P441" s="68"/>
      <x:c r="Q441" s="68"/>
      <x:c r="R441" s="68"/>
      <x:c r="S441" s="68"/>
      <x:c r="T441" s="68"/>
      <x:c r="U441" s="68"/>
      <x:c r="V441" s="68"/>
      <x:c r="W441" s="68"/>
      <x:c r="X441" s="68"/>
      <x:c r="Y441" s="68"/>
      <x:c r="Z441" s="68"/>
    </x:row>
    <x:row r="442">
      <x:c r="A442" s="68"/>
      <x:c r="B442" s="68"/>
      <x:c r="C442" s="68"/>
      <x:c r="D442" s="68"/>
      <x:c r="E442" s="68"/>
      <x:c r="F442" s="68"/>
      <x:c r="G442" s="68"/>
      <x:c r="H442" s="68"/>
      <x:c r="I442" s="68"/>
      <x:c r="J442" s="68"/>
      <x:c r="K442" s="68"/>
      <x:c r="L442" s="68"/>
      <x:c r="M442" s="68"/>
      <x:c r="N442" s="68"/>
      <x:c r="O442" s="68"/>
      <x:c r="P442" s="68"/>
      <x:c r="Q442" s="68"/>
      <x:c r="R442" s="68"/>
      <x:c r="S442" s="68"/>
      <x:c r="T442" s="68"/>
      <x:c r="U442" s="68"/>
      <x:c r="V442" s="68"/>
      <x:c r="W442" s="68"/>
      <x:c r="X442" s="68"/>
      <x:c r="Y442" s="68"/>
      <x:c r="Z442" s="68"/>
    </x:row>
    <x:row r="443">
      <x:c r="A443" s="68"/>
      <x:c r="B443" s="68"/>
      <x:c r="C443" s="68"/>
      <x:c r="D443" s="68"/>
      <x:c r="E443" s="68"/>
      <x:c r="F443" s="68"/>
      <x:c r="G443" s="68"/>
      <x:c r="H443" s="68"/>
      <x:c r="I443" s="68"/>
      <x:c r="J443" s="68"/>
      <x:c r="K443" s="68"/>
      <x:c r="L443" s="68"/>
      <x:c r="M443" s="68"/>
      <x:c r="N443" s="68"/>
      <x:c r="O443" s="68"/>
      <x:c r="P443" s="68"/>
      <x:c r="Q443" s="68"/>
      <x:c r="R443" s="68"/>
      <x:c r="S443" s="68"/>
      <x:c r="T443" s="68"/>
      <x:c r="U443" s="68"/>
      <x:c r="V443" s="68"/>
      <x:c r="W443" s="68"/>
      <x:c r="X443" s="68"/>
      <x:c r="Y443" s="68"/>
      <x:c r="Z443" s="68"/>
    </x:row>
    <x:row r="444">
      <x:c r="A444" s="68"/>
      <x:c r="B444" s="68"/>
      <x:c r="C444" s="68"/>
      <x:c r="D444" s="68"/>
      <x:c r="E444" s="68"/>
      <x:c r="F444" s="68"/>
      <x:c r="G444" s="68"/>
      <x:c r="H444" s="68"/>
      <x:c r="I444" s="68"/>
      <x:c r="J444" s="68"/>
      <x:c r="K444" s="68"/>
      <x:c r="L444" s="68"/>
      <x:c r="M444" s="68"/>
      <x:c r="N444" s="68"/>
      <x:c r="O444" s="68"/>
      <x:c r="P444" s="68"/>
      <x:c r="Q444" s="68"/>
      <x:c r="R444" s="68"/>
      <x:c r="S444" s="68"/>
      <x:c r="T444" s="68"/>
      <x:c r="U444" s="68"/>
      <x:c r="V444" s="68"/>
      <x:c r="W444" s="68"/>
      <x:c r="X444" s="68"/>
      <x:c r="Y444" s="68"/>
      <x:c r="Z444" s="68"/>
    </x:row>
    <x:row r="445">
      <x:c r="A445" s="68"/>
      <x:c r="B445" s="68"/>
      <x:c r="C445" s="68"/>
      <x:c r="D445" s="68"/>
      <x:c r="E445" s="68"/>
      <x:c r="F445" s="68"/>
      <x:c r="G445" s="68"/>
      <x:c r="H445" s="68"/>
      <x:c r="I445" s="68"/>
      <x:c r="J445" s="68"/>
      <x:c r="K445" s="68"/>
      <x:c r="L445" s="68"/>
      <x:c r="M445" s="68"/>
      <x:c r="N445" s="68"/>
      <x:c r="O445" s="68"/>
      <x:c r="P445" s="68"/>
      <x:c r="Q445" s="68"/>
      <x:c r="R445" s="68"/>
      <x:c r="S445" s="68"/>
      <x:c r="T445" s="68"/>
      <x:c r="U445" s="68"/>
      <x:c r="V445" s="68"/>
      <x:c r="W445" s="68"/>
      <x:c r="X445" s="68"/>
      <x:c r="Y445" s="68"/>
      <x:c r="Z445" s="68"/>
    </x:row>
    <x:row r="446">
      <x:c r="A446" s="68"/>
      <x:c r="B446" s="68"/>
      <x:c r="C446" s="68"/>
      <x:c r="D446" s="68"/>
      <x:c r="E446" s="68"/>
      <x:c r="F446" s="68"/>
      <x:c r="G446" s="68"/>
      <x:c r="H446" s="68"/>
      <x:c r="I446" s="68"/>
      <x:c r="J446" s="68"/>
      <x:c r="K446" s="68"/>
      <x:c r="L446" s="68"/>
      <x:c r="M446" s="68"/>
      <x:c r="N446" s="68"/>
      <x:c r="O446" s="68"/>
      <x:c r="P446" s="68"/>
      <x:c r="Q446" s="68"/>
      <x:c r="R446" s="68"/>
      <x:c r="S446" s="68"/>
      <x:c r="T446" s="68"/>
      <x:c r="U446" s="68"/>
      <x:c r="V446" s="68"/>
      <x:c r="W446" s="68"/>
      <x:c r="X446" s="68"/>
      <x:c r="Y446" s="68"/>
      <x:c r="Z446" s="68"/>
    </x:row>
    <x:row r="447">
      <x:c r="A447" s="68"/>
      <x:c r="B447" s="68"/>
      <x:c r="C447" s="68"/>
      <x:c r="D447" s="68"/>
      <x:c r="E447" s="68"/>
      <x:c r="F447" s="68"/>
      <x:c r="G447" s="68"/>
      <x:c r="H447" s="68"/>
      <x:c r="I447" s="68"/>
      <x:c r="J447" s="68"/>
      <x:c r="K447" s="68"/>
      <x:c r="L447" s="68"/>
      <x:c r="M447" s="68"/>
      <x:c r="N447" s="68"/>
      <x:c r="O447" s="68"/>
      <x:c r="P447" s="68"/>
      <x:c r="Q447" s="68"/>
      <x:c r="R447" s="68"/>
      <x:c r="S447" s="68"/>
      <x:c r="T447" s="68"/>
      <x:c r="U447" s="68"/>
      <x:c r="V447" s="68"/>
      <x:c r="W447" s="68"/>
      <x:c r="X447" s="68"/>
      <x:c r="Y447" s="68"/>
      <x:c r="Z447" s="68"/>
    </x:row>
    <x:row r="448">
      <x:c r="A448" s="68"/>
      <x:c r="B448" s="68"/>
      <x:c r="C448" s="68"/>
      <x:c r="D448" s="68"/>
      <x:c r="E448" s="68"/>
      <x:c r="F448" s="68"/>
      <x:c r="G448" s="68"/>
      <x:c r="H448" s="68"/>
      <x:c r="I448" s="68"/>
      <x:c r="J448" s="68"/>
      <x:c r="K448" s="68"/>
      <x:c r="L448" s="68"/>
      <x:c r="M448" s="68"/>
      <x:c r="N448" s="68"/>
      <x:c r="O448" s="68"/>
      <x:c r="P448" s="68"/>
      <x:c r="Q448" s="68"/>
      <x:c r="R448" s="68"/>
      <x:c r="S448" s="68"/>
      <x:c r="T448" s="68"/>
      <x:c r="U448" s="68"/>
      <x:c r="V448" s="68"/>
      <x:c r="W448" s="68"/>
      <x:c r="X448" s="68"/>
      <x:c r="Y448" s="68"/>
      <x:c r="Z448" s="68"/>
    </x:row>
    <x:row r="449">
      <x:c r="A449" s="68"/>
      <x:c r="B449" s="68"/>
      <x:c r="C449" s="68"/>
      <x:c r="D449" s="68"/>
      <x:c r="E449" s="68"/>
      <x:c r="F449" s="68"/>
      <x:c r="G449" s="68"/>
      <x:c r="H449" s="68"/>
      <x:c r="I449" s="68"/>
      <x:c r="J449" s="68"/>
      <x:c r="K449" s="68"/>
      <x:c r="L449" s="68"/>
      <x:c r="M449" s="68"/>
      <x:c r="N449" s="68"/>
      <x:c r="O449" s="68"/>
      <x:c r="P449" s="68"/>
      <x:c r="Q449" s="68"/>
      <x:c r="R449" s="68"/>
      <x:c r="S449" s="68"/>
      <x:c r="T449" s="68"/>
      <x:c r="U449" s="68"/>
      <x:c r="V449" s="68"/>
      <x:c r="W449" s="68"/>
      <x:c r="X449" s="68"/>
      <x:c r="Y449" s="68"/>
      <x:c r="Z449" s="68"/>
    </x:row>
    <x:row r="450">
      <x:c r="A450" s="68"/>
      <x:c r="B450" s="68"/>
      <x:c r="C450" s="68"/>
      <x:c r="D450" s="68"/>
      <x:c r="E450" s="68"/>
      <x:c r="F450" s="68"/>
      <x:c r="G450" s="68"/>
      <x:c r="H450" s="68"/>
      <x:c r="I450" s="68"/>
      <x:c r="J450" s="68"/>
      <x:c r="K450" s="68"/>
      <x:c r="L450" s="68"/>
      <x:c r="M450" s="68"/>
      <x:c r="N450" s="68"/>
      <x:c r="O450" s="68"/>
      <x:c r="P450" s="68"/>
      <x:c r="Q450" s="68"/>
      <x:c r="R450" s="68"/>
      <x:c r="S450" s="68"/>
      <x:c r="T450" s="68"/>
      <x:c r="U450" s="68"/>
      <x:c r="V450" s="68"/>
      <x:c r="W450" s="68"/>
      <x:c r="X450" s="68"/>
      <x:c r="Y450" s="68"/>
      <x:c r="Z450" s="68"/>
    </x:row>
    <x:row r="451">
      <x:c r="A451" s="68"/>
      <x:c r="B451" s="68"/>
      <x:c r="C451" s="68"/>
      <x:c r="D451" s="68"/>
      <x:c r="E451" s="68"/>
      <x:c r="F451" s="68"/>
      <x:c r="G451" s="68"/>
      <x:c r="H451" s="68"/>
      <x:c r="I451" s="68"/>
      <x:c r="J451" s="68"/>
      <x:c r="K451" s="68"/>
      <x:c r="L451" s="68"/>
      <x:c r="M451" s="68"/>
      <x:c r="N451" s="68"/>
      <x:c r="O451" s="68"/>
      <x:c r="P451" s="68"/>
      <x:c r="Q451" s="68"/>
      <x:c r="R451" s="68"/>
      <x:c r="S451" s="68"/>
      <x:c r="T451" s="68"/>
      <x:c r="U451" s="68"/>
      <x:c r="V451" s="68"/>
      <x:c r="W451" s="68"/>
      <x:c r="X451" s="68"/>
      <x:c r="Y451" s="68"/>
      <x:c r="Z451" s="68"/>
    </x:row>
    <x:row r="452">
      <x:c r="A452" s="68"/>
      <x:c r="B452" s="68"/>
      <x:c r="C452" s="68"/>
      <x:c r="D452" s="68"/>
      <x:c r="E452" s="68"/>
      <x:c r="F452" s="68"/>
      <x:c r="G452" s="68"/>
      <x:c r="H452" s="68"/>
      <x:c r="I452" s="68"/>
      <x:c r="J452" s="68"/>
      <x:c r="K452" s="68"/>
      <x:c r="L452" s="68"/>
      <x:c r="M452" s="68"/>
      <x:c r="N452" s="68"/>
      <x:c r="O452" s="68"/>
      <x:c r="P452" s="68"/>
      <x:c r="Q452" s="68"/>
      <x:c r="R452" s="68"/>
      <x:c r="S452" s="68"/>
      <x:c r="T452" s="68"/>
      <x:c r="U452" s="68"/>
      <x:c r="V452" s="68"/>
      <x:c r="W452" s="68"/>
      <x:c r="X452" s="68"/>
      <x:c r="Y452" s="68"/>
      <x:c r="Z452" s="68"/>
    </x:row>
    <x:row r="453">
      <x:c r="A453" s="68"/>
      <x:c r="B453" s="68"/>
      <x:c r="C453" s="68"/>
      <x:c r="D453" s="68"/>
      <x:c r="E453" s="68"/>
      <x:c r="F453" s="68"/>
      <x:c r="G453" s="68"/>
      <x:c r="H453" s="68"/>
      <x:c r="I453" s="68"/>
      <x:c r="J453" s="68"/>
      <x:c r="K453" s="68"/>
      <x:c r="L453" s="68"/>
      <x:c r="M453" s="68"/>
      <x:c r="N453" s="68"/>
      <x:c r="O453" s="68"/>
      <x:c r="P453" s="68"/>
      <x:c r="Q453" s="68"/>
      <x:c r="R453" s="68"/>
      <x:c r="S453" s="68"/>
      <x:c r="T453" s="68"/>
      <x:c r="U453" s="68"/>
      <x:c r="V453" s="68"/>
      <x:c r="W453" s="68"/>
      <x:c r="X453" s="68"/>
      <x:c r="Y453" s="68"/>
      <x:c r="Z453" s="68"/>
    </x:row>
    <x:row r="454">
      <x:c r="A454" s="68"/>
      <x:c r="B454" s="68"/>
      <x:c r="C454" s="68"/>
      <x:c r="D454" s="68"/>
      <x:c r="E454" s="68"/>
      <x:c r="F454" s="68"/>
      <x:c r="G454" s="68"/>
      <x:c r="H454" s="68"/>
      <x:c r="I454" s="68"/>
      <x:c r="J454" s="68"/>
      <x:c r="K454" s="68"/>
      <x:c r="L454" s="68"/>
      <x:c r="M454" s="68"/>
      <x:c r="N454" s="68"/>
      <x:c r="O454" s="68"/>
      <x:c r="P454" s="68"/>
      <x:c r="Q454" s="68"/>
      <x:c r="R454" s="68"/>
      <x:c r="S454" s="68"/>
      <x:c r="T454" s="68"/>
      <x:c r="U454" s="68"/>
      <x:c r="V454" s="68"/>
      <x:c r="W454" s="68"/>
      <x:c r="X454" s="68"/>
      <x:c r="Y454" s="68"/>
      <x:c r="Z454" s="68"/>
    </x:row>
    <x:row r="455">
      <x:c r="A455" s="68"/>
      <x:c r="B455" s="68"/>
      <x:c r="C455" s="68"/>
      <x:c r="D455" s="68"/>
      <x:c r="E455" s="68"/>
      <x:c r="F455" s="68"/>
      <x:c r="G455" s="68"/>
      <x:c r="H455" s="68"/>
      <x:c r="I455" s="68"/>
      <x:c r="J455" s="68"/>
      <x:c r="K455" s="68"/>
      <x:c r="L455" s="68"/>
      <x:c r="M455" s="68"/>
      <x:c r="N455" s="68"/>
      <x:c r="O455" s="68"/>
      <x:c r="P455" s="68"/>
      <x:c r="Q455" s="68"/>
      <x:c r="R455" s="68"/>
      <x:c r="S455" s="68"/>
      <x:c r="T455" s="68"/>
      <x:c r="U455" s="68"/>
      <x:c r="V455" s="68"/>
      <x:c r="W455" s="68"/>
      <x:c r="X455" s="68"/>
      <x:c r="Y455" s="68"/>
      <x:c r="Z455" s="68"/>
    </x:row>
    <x:row r="456">
      <x:c r="A456" s="68"/>
      <x:c r="B456" s="68"/>
      <x:c r="C456" s="68"/>
      <x:c r="D456" s="68"/>
      <x:c r="E456" s="68"/>
      <x:c r="F456" s="68"/>
      <x:c r="G456" s="68"/>
      <x:c r="H456" s="68"/>
      <x:c r="I456" s="68"/>
      <x:c r="J456" s="68"/>
      <x:c r="K456" s="68"/>
      <x:c r="L456" s="68"/>
      <x:c r="M456" s="68"/>
      <x:c r="N456" s="68"/>
      <x:c r="O456" s="68"/>
      <x:c r="P456" s="68"/>
      <x:c r="Q456" s="68"/>
      <x:c r="R456" s="68"/>
      <x:c r="S456" s="68"/>
      <x:c r="T456" s="68"/>
      <x:c r="U456" s="68"/>
      <x:c r="V456" s="68"/>
      <x:c r="W456" s="68"/>
      <x:c r="X456" s="68"/>
      <x:c r="Y456" s="68"/>
      <x:c r="Z456" s="68"/>
    </x:row>
    <x:row r="457">
      <x:c r="A457" s="68"/>
      <x:c r="B457" s="68"/>
      <x:c r="C457" s="68"/>
      <x:c r="D457" s="68"/>
      <x:c r="E457" s="68"/>
      <x:c r="F457" s="68"/>
      <x:c r="G457" s="68"/>
      <x:c r="H457" s="68"/>
      <x:c r="I457" s="68"/>
      <x:c r="J457" s="68"/>
      <x:c r="K457" s="68"/>
      <x:c r="L457" s="68"/>
      <x:c r="M457" s="68"/>
      <x:c r="N457" s="68"/>
      <x:c r="O457" s="68"/>
      <x:c r="P457" s="68"/>
      <x:c r="Q457" s="68"/>
      <x:c r="R457" s="68"/>
      <x:c r="S457" s="68"/>
      <x:c r="T457" s="68"/>
      <x:c r="U457" s="68"/>
      <x:c r="V457" s="68"/>
      <x:c r="W457" s="68"/>
      <x:c r="X457" s="68"/>
      <x:c r="Y457" s="68"/>
      <x:c r="Z457" s="68"/>
    </x:row>
    <x:row r="458">
      <x:c r="A458" s="68"/>
      <x:c r="B458" s="68"/>
      <x:c r="C458" s="68"/>
      <x:c r="D458" s="68"/>
      <x:c r="E458" s="68"/>
      <x:c r="F458" s="68"/>
      <x:c r="G458" s="68"/>
      <x:c r="H458" s="68"/>
      <x:c r="I458" s="68"/>
      <x:c r="J458" s="68"/>
      <x:c r="K458" s="68"/>
      <x:c r="L458" s="68"/>
      <x:c r="M458" s="68"/>
      <x:c r="N458" s="68"/>
      <x:c r="O458" s="68"/>
      <x:c r="P458" s="68"/>
      <x:c r="Q458" s="68"/>
      <x:c r="R458" s="68"/>
      <x:c r="S458" s="68"/>
      <x:c r="T458" s="68"/>
      <x:c r="U458" s="68"/>
      <x:c r="V458" s="68"/>
      <x:c r="W458" s="68"/>
      <x:c r="X458" s="68"/>
      <x:c r="Y458" s="68"/>
      <x:c r="Z458" s="68"/>
    </x:row>
    <x:row r="459">
      <x:c r="A459" s="68"/>
      <x:c r="B459" s="68"/>
      <x:c r="C459" s="68"/>
      <x:c r="D459" s="68"/>
      <x:c r="E459" s="68"/>
      <x:c r="F459" s="68"/>
      <x:c r="G459" s="68"/>
      <x:c r="H459" s="68"/>
      <x:c r="I459" s="68"/>
      <x:c r="J459" s="68"/>
      <x:c r="K459" s="68"/>
      <x:c r="L459" s="68"/>
      <x:c r="M459" s="68"/>
      <x:c r="N459" s="68"/>
      <x:c r="O459" s="68"/>
      <x:c r="P459" s="68"/>
      <x:c r="Q459" s="68"/>
      <x:c r="R459" s="68"/>
      <x:c r="S459" s="68"/>
      <x:c r="T459" s="68"/>
      <x:c r="U459" s="68"/>
      <x:c r="V459" s="68"/>
      <x:c r="W459" s="68"/>
      <x:c r="X459" s="68"/>
      <x:c r="Y459" s="68"/>
      <x:c r="Z459" s="68"/>
    </x:row>
    <x:row r="460">
      <x:c r="A460" s="68"/>
      <x:c r="B460" s="68"/>
      <x:c r="C460" s="68"/>
      <x:c r="D460" s="68"/>
      <x:c r="E460" s="68"/>
      <x:c r="F460" s="68"/>
      <x:c r="G460" s="68"/>
      <x:c r="H460" s="68"/>
      <x:c r="I460" s="68"/>
      <x:c r="J460" s="68"/>
      <x:c r="K460" s="68"/>
      <x:c r="L460" s="68"/>
      <x:c r="M460" s="68"/>
      <x:c r="N460" s="68"/>
      <x:c r="O460" s="68"/>
      <x:c r="P460" s="68"/>
      <x:c r="Q460" s="68"/>
      <x:c r="R460" s="68"/>
      <x:c r="S460" s="68"/>
      <x:c r="T460" s="68"/>
      <x:c r="U460" s="68"/>
      <x:c r="V460" s="68"/>
      <x:c r="W460" s="68"/>
      <x:c r="X460" s="68"/>
      <x:c r="Y460" s="68"/>
      <x:c r="Z460" s="68"/>
    </x:row>
    <x:row r="461">
      <x:c r="A461" s="68"/>
      <x:c r="B461" s="68"/>
      <x:c r="C461" s="68"/>
      <x:c r="D461" s="68"/>
      <x:c r="E461" s="68"/>
      <x:c r="F461" s="68"/>
      <x:c r="G461" s="68"/>
      <x:c r="H461" s="68"/>
      <x:c r="I461" s="68"/>
      <x:c r="J461" s="68"/>
      <x:c r="K461" s="68"/>
      <x:c r="L461" s="68"/>
      <x:c r="M461" s="68"/>
      <x:c r="N461" s="68"/>
      <x:c r="O461" s="68"/>
      <x:c r="P461" s="68"/>
      <x:c r="Q461" s="68"/>
      <x:c r="R461" s="68"/>
      <x:c r="S461" s="68"/>
      <x:c r="T461" s="68"/>
      <x:c r="U461" s="68"/>
      <x:c r="V461" s="68"/>
      <x:c r="W461" s="68"/>
      <x:c r="X461" s="68"/>
      <x:c r="Y461" s="68"/>
      <x:c r="Z461" s="68"/>
    </x:row>
    <x:row r="462">
      <x:c r="A462" s="68"/>
      <x:c r="B462" s="68"/>
      <x:c r="C462" s="68"/>
      <x:c r="D462" s="68"/>
      <x:c r="E462" s="68"/>
      <x:c r="F462" s="68"/>
      <x:c r="G462" s="68"/>
      <x:c r="H462" s="68"/>
      <x:c r="I462" s="68"/>
      <x:c r="J462" s="68"/>
      <x:c r="K462" s="68"/>
      <x:c r="L462" s="68"/>
      <x:c r="M462" s="68"/>
      <x:c r="N462" s="68"/>
      <x:c r="O462" s="68"/>
      <x:c r="P462" s="68"/>
      <x:c r="Q462" s="68"/>
      <x:c r="R462" s="68"/>
      <x:c r="S462" s="68"/>
      <x:c r="T462" s="68"/>
      <x:c r="U462" s="68"/>
      <x:c r="V462" s="68"/>
      <x:c r="W462" s="68"/>
      <x:c r="X462" s="68"/>
      <x:c r="Y462" s="68"/>
      <x:c r="Z462" s="68"/>
    </x:row>
    <x:row r="463">
      <x:c r="A463" s="68"/>
      <x:c r="B463" s="68"/>
      <x:c r="C463" s="68"/>
      <x:c r="D463" s="68"/>
      <x:c r="E463" s="68"/>
      <x:c r="F463" s="68"/>
      <x:c r="G463" s="68"/>
      <x:c r="H463" s="68"/>
      <x:c r="I463" s="68"/>
      <x:c r="J463" s="68"/>
      <x:c r="K463" s="68"/>
      <x:c r="L463" s="68"/>
      <x:c r="M463" s="68"/>
      <x:c r="N463" s="68"/>
      <x:c r="O463" s="68"/>
      <x:c r="P463" s="68"/>
      <x:c r="Q463" s="68"/>
      <x:c r="R463" s="68"/>
      <x:c r="S463" s="68"/>
      <x:c r="T463" s="68"/>
      <x:c r="U463" s="68"/>
      <x:c r="V463" s="68"/>
      <x:c r="W463" s="68"/>
      <x:c r="X463" s="68"/>
      <x:c r="Y463" s="68"/>
      <x:c r="Z463" s="68"/>
    </x:row>
    <x:row r="464">
      <x:c r="A464" s="68"/>
      <x:c r="B464" s="68"/>
      <x:c r="C464" s="68"/>
      <x:c r="D464" s="68"/>
      <x:c r="E464" s="68"/>
      <x:c r="F464" s="68"/>
      <x:c r="G464" s="68"/>
      <x:c r="H464" s="68"/>
      <x:c r="I464" s="68"/>
      <x:c r="J464" s="68"/>
      <x:c r="K464" s="68"/>
      <x:c r="L464" s="68"/>
      <x:c r="M464" s="68"/>
      <x:c r="N464" s="68"/>
      <x:c r="O464" s="68"/>
      <x:c r="P464" s="68"/>
      <x:c r="Q464" s="68"/>
      <x:c r="R464" s="68"/>
      <x:c r="S464" s="68"/>
      <x:c r="T464" s="68"/>
      <x:c r="U464" s="68"/>
      <x:c r="V464" s="68"/>
      <x:c r="W464" s="68"/>
      <x:c r="X464" s="68"/>
      <x:c r="Y464" s="68"/>
      <x:c r="Z464" s="68"/>
    </x:row>
    <x:row r="465">
      <x:c r="A465" s="68"/>
      <x:c r="B465" s="68"/>
      <x:c r="C465" s="68"/>
      <x:c r="D465" s="68"/>
      <x:c r="E465" s="68"/>
      <x:c r="F465" s="68"/>
      <x:c r="G465" s="68"/>
      <x:c r="H465" s="68"/>
      <x:c r="I465" s="68"/>
      <x:c r="J465" s="68"/>
      <x:c r="K465" s="68"/>
      <x:c r="L465" s="68"/>
      <x:c r="M465" s="68"/>
      <x:c r="N465" s="68"/>
      <x:c r="O465" s="68"/>
      <x:c r="P465" s="68"/>
      <x:c r="Q465" s="68"/>
      <x:c r="R465" s="68"/>
      <x:c r="S465" s="68"/>
      <x:c r="T465" s="68"/>
      <x:c r="U465" s="68"/>
      <x:c r="V465" s="68"/>
      <x:c r="W465" s="68"/>
      <x:c r="X465" s="68"/>
      <x:c r="Y465" s="68"/>
      <x:c r="Z465" s="68"/>
    </x:row>
    <x:row r="466">
      <x:c r="A466" s="68"/>
      <x:c r="B466" s="68"/>
      <x:c r="C466" s="68"/>
      <x:c r="D466" s="68"/>
      <x:c r="E466" s="68"/>
      <x:c r="F466" s="68"/>
      <x:c r="G466" s="68"/>
      <x:c r="H466" s="68"/>
      <x:c r="I466" s="68"/>
      <x:c r="J466" s="68"/>
      <x:c r="K466" s="68"/>
      <x:c r="L466" s="68"/>
      <x:c r="M466" s="68"/>
      <x:c r="N466" s="68"/>
      <x:c r="O466" s="68"/>
      <x:c r="P466" s="68"/>
      <x:c r="Q466" s="68"/>
      <x:c r="R466" s="68"/>
      <x:c r="S466" s="68"/>
      <x:c r="T466" s="68"/>
      <x:c r="U466" s="68"/>
      <x:c r="V466" s="68"/>
      <x:c r="W466" s="68"/>
      <x:c r="X466" s="68"/>
      <x:c r="Y466" s="68"/>
      <x:c r="Z466" s="68"/>
    </x:row>
    <x:row r="467">
      <x:c r="A467" s="68"/>
      <x:c r="B467" s="68"/>
      <x:c r="C467" s="68"/>
      <x:c r="D467" s="68"/>
      <x:c r="E467" s="68"/>
      <x:c r="F467" s="68"/>
      <x:c r="G467" s="68"/>
      <x:c r="H467" s="68"/>
      <x:c r="I467" s="68"/>
      <x:c r="J467" s="68"/>
      <x:c r="K467" s="68"/>
      <x:c r="L467" s="68"/>
      <x:c r="M467" s="68"/>
      <x:c r="N467" s="68"/>
      <x:c r="O467" s="68"/>
      <x:c r="P467" s="68"/>
      <x:c r="Q467" s="68"/>
      <x:c r="R467" s="68"/>
      <x:c r="S467" s="68"/>
      <x:c r="T467" s="68"/>
      <x:c r="U467" s="68"/>
      <x:c r="V467" s="68"/>
      <x:c r="W467" s="68"/>
      <x:c r="X467" s="68"/>
      <x:c r="Y467" s="68"/>
      <x:c r="Z467" s="68"/>
    </x:row>
    <x:row r="468">
      <x:c r="A468" s="68"/>
      <x:c r="B468" s="68"/>
      <x:c r="C468" s="68"/>
      <x:c r="D468" s="68"/>
      <x:c r="E468" s="68"/>
      <x:c r="F468" s="68"/>
      <x:c r="G468" s="68"/>
      <x:c r="H468" s="68"/>
      <x:c r="I468" s="68"/>
      <x:c r="J468" s="68"/>
      <x:c r="K468" s="68"/>
      <x:c r="L468" s="68"/>
      <x:c r="M468" s="68"/>
      <x:c r="N468" s="68"/>
      <x:c r="O468" s="68"/>
      <x:c r="P468" s="68"/>
      <x:c r="Q468" s="68"/>
      <x:c r="R468" s="68"/>
      <x:c r="S468" s="68"/>
      <x:c r="T468" s="68"/>
      <x:c r="U468" s="68"/>
      <x:c r="V468" s="68"/>
      <x:c r="W468" s="68"/>
      <x:c r="X468" s="68"/>
      <x:c r="Y468" s="68"/>
      <x:c r="Z468" s="68"/>
    </x:row>
    <x:row r="469">
      <x:c r="A469" s="68"/>
      <x:c r="B469" s="68"/>
      <x:c r="C469" s="68"/>
      <x:c r="D469" s="68"/>
      <x:c r="E469" s="68"/>
      <x:c r="F469" s="68"/>
      <x:c r="G469" s="68"/>
      <x:c r="H469" s="68"/>
      <x:c r="I469" s="68"/>
      <x:c r="J469" s="68"/>
      <x:c r="K469" s="68"/>
      <x:c r="L469" s="68"/>
      <x:c r="M469" s="68"/>
      <x:c r="N469" s="68"/>
      <x:c r="O469" s="68"/>
      <x:c r="P469" s="68"/>
      <x:c r="Q469" s="68"/>
      <x:c r="R469" s="68"/>
      <x:c r="S469" s="68"/>
      <x:c r="T469" s="68"/>
      <x:c r="U469" s="68"/>
      <x:c r="V469" s="68"/>
      <x:c r="W469" s="68"/>
      <x:c r="X469" s="68"/>
      <x:c r="Y469" s="68"/>
      <x:c r="Z469" s="68"/>
    </x:row>
    <x:row r="470">
      <x:c r="A470" s="68"/>
      <x:c r="B470" s="68"/>
      <x:c r="C470" s="68"/>
      <x:c r="D470" s="68"/>
      <x:c r="E470" s="68"/>
      <x:c r="F470" s="68"/>
      <x:c r="G470" s="68"/>
      <x:c r="H470" s="68"/>
      <x:c r="I470" s="68"/>
      <x:c r="J470" s="68"/>
      <x:c r="K470" s="68"/>
      <x:c r="L470" s="68"/>
      <x:c r="M470" s="68"/>
      <x:c r="N470" s="68"/>
      <x:c r="O470" s="68"/>
      <x:c r="P470" s="68"/>
      <x:c r="Q470" s="68"/>
      <x:c r="R470" s="68"/>
      <x:c r="S470" s="68"/>
      <x:c r="T470" s="68"/>
      <x:c r="U470" s="68"/>
      <x:c r="V470" s="68"/>
      <x:c r="W470" s="68"/>
      <x:c r="X470" s="68"/>
      <x:c r="Y470" s="68"/>
      <x:c r="Z470" s="68"/>
    </x:row>
    <x:row r="471">
      <x:c r="A471" s="68"/>
      <x:c r="B471" s="68"/>
      <x:c r="C471" s="68"/>
      <x:c r="D471" s="68"/>
      <x:c r="E471" s="68"/>
      <x:c r="F471" s="68"/>
      <x:c r="G471" s="68"/>
      <x:c r="H471" s="68"/>
      <x:c r="I471" s="68"/>
      <x:c r="J471" s="68"/>
      <x:c r="K471" s="68"/>
      <x:c r="L471" s="68"/>
      <x:c r="M471" s="68"/>
      <x:c r="N471" s="68"/>
      <x:c r="O471" s="68"/>
      <x:c r="P471" s="68"/>
      <x:c r="Q471" s="68"/>
      <x:c r="R471" s="68"/>
      <x:c r="S471" s="68"/>
      <x:c r="T471" s="68"/>
      <x:c r="U471" s="68"/>
      <x:c r="V471" s="68"/>
      <x:c r="W471" s="68"/>
      <x:c r="X471" s="68"/>
      <x:c r="Y471" s="68"/>
      <x:c r="Z471" s="68"/>
    </x:row>
    <x:row r="472">
      <x:c r="A472" s="68"/>
      <x:c r="B472" s="68"/>
      <x:c r="C472" s="68"/>
      <x:c r="D472" s="68"/>
      <x:c r="E472" s="68"/>
      <x:c r="F472" s="68"/>
      <x:c r="G472" s="68"/>
      <x:c r="H472" s="68"/>
      <x:c r="I472" s="68"/>
      <x:c r="J472" s="68"/>
      <x:c r="K472" s="68"/>
      <x:c r="L472" s="68"/>
      <x:c r="M472" s="68"/>
      <x:c r="N472" s="68"/>
      <x:c r="O472" s="68"/>
      <x:c r="P472" s="68"/>
      <x:c r="Q472" s="68"/>
      <x:c r="R472" s="68"/>
      <x:c r="S472" s="68"/>
      <x:c r="T472" s="68"/>
      <x:c r="U472" s="68"/>
      <x:c r="V472" s="68"/>
      <x:c r="W472" s="68"/>
      <x:c r="X472" s="68"/>
      <x:c r="Y472" s="68"/>
      <x:c r="Z472" s="68"/>
    </x:row>
    <x:row r="473">
      <x:c r="A473" s="68"/>
      <x:c r="B473" s="68"/>
      <x:c r="C473" s="68"/>
      <x:c r="D473" s="68"/>
      <x:c r="E473" s="68"/>
      <x:c r="F473" s="68"/>
      <x:c r="G473" s="68"/>
      <x:c r="H473" s="68"/>
      <x:c r="I473" s="68"/>
      <x:c r="J473" s="68"/>
      <x:c r="K473" s="68"/>
      <x:c r="L473" s="68"/>
      <x:c r="M473" s="68"/>
      <x:c r="N473" s="68"/>
      <x:c r="O473" s="68"/>
      <x:c r="P473" s="68"/>
      <x:c r="Q473" s="68"/>
      <x:c r="R473" s="68"/>
      <x:c r="S473" s="68"/>
      <x:c r="T473" s="68"/>
      <x:c r="U473" s="68"/>
      <x:c r="V473" s="68"/>
      <x:c r="W473" s="68"/>
      <x:c r="X473" s="68"/>
      <x:c r="Y473" s="68"/>
      <x:c r="Z473" s="68"/>
    </x:row>
    <x:row r="474">
      <x:c r="A474" s="68"/>
      <x:c r="B474" s="68"/>
      <x:c r="C474" s="68"/>
      <x:c r="D474" s="68"/>
      <x:c r="E474" s="68"/>
      <x:c r="F474" s="68"/>
      <x:c r="G474" s="68"/>
      <x:c r="H474" s="68"/>
      <x:c r="I474" s="68"/>
      <x:c r="J474" s="68"/>
      <x:c r="K474" s="68"/>
      <x:c r="L474" s="68"/>
      <x:c r="M474" s="68"/>
      <x:c r="N474" s="68"/>
      <x:c r="O474" s="68"/>
      <x:c r="P474" s="68"/>
      <x:c r="Q474" s="68"/>
      <x:c r="R474" s="68"/>
      <x:c r="S474" s="68"/>
      <x:c r="T474" s="68"/>
      <x:c r="U474" s="68"/>
      <x:c r="V474" s="68"/>
      <x:c r="W474" s="68"/>
      <x:c r="X474" s="68"/>
      <x:c r="Y474" s="68"/>
      <x:c r="Z474" s="68"/>
    </x:row>
    <x:row r="475">
      <x:c r="A475" s="68"/>
      <x:c r="B475" s="68"/>
      <x:c r="C475" s="68"/>
      <x:c r="D475" s="68"/>
      <x:c r="E475" s="68"/>
      <x:c r="F475" s="68"/>
      <x:c r="G475" s="68"/>
      <x:c r="H475" s="68"/>
      <x:c r="I475" s="68"/>
      <x:c r="J475" s="68"/>
      <x:c r="K475" s="68"/>
      <x:c r="L475" s="68"/>
      <x:c r="M475" s="68"/>
      <x:c r="N475" s="68"/>
      <x:c r="O475" s="68"/>
      <x:c r="P475" s="68"/>
      <x:c r="Q475" s="68"/>
      <x:c r="R475" s="68"/>
      <x:c r="S475" s="68"/>
      <x:c r="T475" s="68"/>
      <x:c r="U475" s="68"/>
      <x:c r="V475" s="68"/>
      <x:c r="W475" s="68"/>
      <x:c r="X475" s="68"/>
      <x:c r="Y475" s="68"/>
      <x:c r="Z475" s="68"/>
    </x:row>
    <x:row r="476">
      <x:c r="A476" s="68"/>
      <x:c r="B476" s="68"/>
      <x:c r="C476" s="68"/>
      <x:c r="D476" s="68"/>
      <x:c r="E476" s="68"/>
      <x:c r="F476" s="68"/>
      <x:c r="G476" s="68"/>
      <x:c r="H476" s="68"/>
      <x:c r="I476" s="68"/>
      <x:c r="J476" s="68"/>
      <x:c r="K476" s="68"/>
      <x:c r="L476" s="68"/>
      <x:c r="M476" s="68"/>
      <x:c r="N476" s="68"/>
      <x:c r="O476" s="68"/>
      <x:c r="P476" s="68"/>
      <x:c r="Q476" s="68"/>
      <x:c r="R476" s="68"/>
      <x:c r="S476" s="68"/>
      <x:c r="T476" s="68"/>
      <x:c r="U476" s="68"/>
      <x:c r="V476" s="68"/>
      <x:c r="W476" s="68"/>
      <x:c r="X476" s="68"/>
      <x:c r="Y476" s="68"/>
      <x:c r="Z476" s="68"/>
    </x:row>
    <x:row r="477">
      <x:c r="A477" s="68"/>
      <x:c r="B477" s="68"/>
      <x:c r="C477" s="68"/>
      <x:c r="D477" s="68"/>
      <x:c r="E477" s="68"/>
      <x:c r="F477" s="68"/>
      <x:c r="G477" s="68"/>
      <x:c r="H477" s="68"/>
      <x:c r="I477" s="68"/>
      <x:c r="J477" s="68"/>
      <x:c r="K477" s="68"/>
      <x:c r="L477" s="68"/>
      <x:c r="M477" s="68"/>
      <x:c r="N477" s="68"/>
      <x:c r="O477" s="68"/>
      <x:c r="P477" s="68"/>
      <x:c r="Q477" s="68"/>
      <x:c r="R477" s="68"/>
      <x:c r="S477" s="68"/>
      <x:c r="T477" s="68"/>
      <x:c r="U477" s="68"/>
      <x:c r="V477" s="68"/>
      <x:c r="W477" s="68"/>
      <x:c r="X477" s="68"/>
      <x:c r="Y477" s="68"/>
      <x:c r="Z477" s="68"/>
    </x:row>
    <x:row r="478">
      <x:c r="A478" s="68"/>
      <x:c r="B478" s="68"/>
      <x:c r="C478" s="68"/>
      <x:c r="D478" s="68"/>
      <x:c r="E478" s="68"/>
      <x:c r="F478" s="68"/>
      <x:c r="G478" s="68"/>
      <x:c r="H478" s="68"/>
      <x:c r="I478" s="68"/>
      <x:c r="J478" s="68"/>
      <x:c r="K478" s="68"/>
      <x:c r="L478" s="68"/>
      <x:c r="M478" s="68"/>
      <x:c r="N478" s="68"/>
      <x:c r="O478" s="68"/>
      <x:c r="P478" s="68"/>
      <x:c r="Q478" s="68"/>
      <x:c r="R478" s="68"/>
      <x:c r="S478" s="68"/>
      <x:c r="T478" s="68"/>
      <x:c r="U478" s="68"/>
      <x:c r="V478" s="68"/>
      <x:c r="W478" s="68"/>
      <x:c r="X478" s="68"/>
      <x:c r="Y478" s="68"/>
      <x:c r="Z478" s="68"/>
    </x:row>
    <x:row r="479">
      <x:c r="A479" s="68"/>
      <x:c r="B479" s="68"/>
      <x:c r="C479" s="68"/>
      <x:c r="D479" s="68"/>
      <x:c r="E479" s="68"/>
      <x:c r="F479" s="68"/>
      <x:c r="G479" s="68"/>
      <x:c r="H479" s="68"/>
      <x:c r="I479" s="68"/>
      <x:c r="J479" s="68"/>
      <x:c r="K479" s="68"/>
      <x:c r="L479" s="68"/>
      <x:c r="M479" s="68"/>
      <x:c r="N479" s="68"/>
      <x:c r="O479" s="68"/>
      <x:c r="P479" s="68"/>
      <x:c r="Q479" s="68"/>
      <x:c r="R479" s="68"/>
      <x:c r="S479" s="68"/>
      <x:c r="T479" s="68"/>
      <x:c r="U479" s="68"/>
      <x:c r="V479" s="68"/>
      <x:c r="W479" s="68"/>
      <x:c r="X479" s="68"/>
      <x:c r="Y479" s="68"/>
      <x:c r="Z479" s="68"/>
    </x:row>
    <x:row r="480">
      <x:c r="A480" s="68"/>
      <x:c r="B480" s="68"/>
      <x:c r="C480" s="68"/>
      <x:c r="D480" s="68"/>
      <x:c r="E480" s="68"/>
      <x:c r="F480" s="68"/>
      <x:c r="G480" s="68"/>
      <x:c r="H480" s="68"/>
      <x:c r="I480" s="68"/>
      <x:c r="J480" s="68"/>
      <x:c r="K480" s="68"/>
      <x:c r="L480" s="68"/>
      <x:c r="M480" s="68"/>
      <x:c r="N480" s="68"/>
      <x:c r="O480" s="68"/>
      <x:c r="P480" s="68"/>
      <x:c r="Q480" s="68"/>
      <x:c r="R480" s="68"/>
      <x:c r="S480" s="68"/>
      <x:c r="T480" s="68"/>
      <x:c r="U480" s="68"/>
      <x:c r="V480" s="68"/>
      <x:c r="W480" s="68"/>
      <x:c r="X480" s="68"/>
      <x:c r="Y480" s="68"/>
      <x:c r="Z480" s="68"/>
    </x:row>
    <x:row r="481">
      <x:c r="A481" s="68"/>
      <x:c r="B481" s="68"/>
      <x:c r="C481" s="68"/>
      <x:c r="D481" s="68"/>
      <x:c r="E481" s="68"/>
      <x:c r="F481" s="68"/>
      <x:c r="G481" s="68"/>
      <x:c r="H481" s="68"/>
      <x:c r="I481" s="68"/>
      <x:c r="J481" s="68"/>
      <x:c r="K481" s="68"/>
      <x:c r="L481" s="68"/>
      <x:c r="M481" s="68"/>
      <x:c r="N481" s="68"/>
      <x:c r="O481" s="68"/>
      <x:c r="P481" s="68"/>
      <x:c r="Q481" s="68"/>
      <x:c r="R481" s="68"/>
      <x:c r="S481" s="68"/>
      <x:c r="T481" s="68"/>
      <x:c r="U481" s="68"/>
      <x:c r="V481" s="68"/>
      <x:c r="W481" s="68"/>
      <x:c r="X481" s="68"/>
      <x:c r="Y481" s="68"/>
      <x:c r="Z481" s="68"/>
    </x:row>
    <x:row r="482">
      <x:c r="A482" s="68"/>
      <x:c r="B482" s="68"/>
      <x:c r="C482" s="68"/>
      <x:c r="D482" s="68"/>
      <x:c r="E482" s="68"/>
      <x:c r="F482" s="68"/>
      <x:c r="G482" s="68"/>
      <x:c r="H482" s="68"/>
      <x:c r="I482" s="68"/>
      <x:c r="J482" s="68"/>
      <x:c r="K482" s="68"/>
      <x:c r="L482" s="68"/>
      <x:c r="M482" s="68"/>
      <x:c r="N482" s="68"/>
      <x:c r="O482" s="68"/>
      <x:c r="P482" s="68"/>
      <x:c r="Q482" s="68"/>
      <x:c r="R482" s="68"/>
      <x:c r="S482" s="68"/>
      <x:c r="T482" s="68"/>
      <x:c r="U482" s="68"/>
      <x:c r="V482" s="68"/>
      <x:c r="W482" s="68"/>
      <x:c r="X482" s="68"/>
      <x:c r="Y482" s="68"/>
      <x:c r="Z482" s="68"/>
    </x:row>
    <x:row r="483">
      <x:c r="A483" s="68"/>
      <x:c r="B483" s="68"/>
      <x:c r="C483" s="68"/>
      <x:c r="D483" s="68"/>
      <x:c r="E483" s="68"/>
      <x:c r="F483" s="68"/>
      <x:c r="G483" s="68"/>
      <x:c r="H483" s="68"/>
      <x:c r="I483" s="68"/>
      <x:c r="J483" s="68"/>
      <x:c r="K483" s="68"/>
      <x:c r="L483" s="68"/>
      <x:c r="M483" s="68"/>
      <x:c r="N483" s="68"/>
      <x:c r="O483" s="68"/>
      <x:c r="P483" s="68"/>
      <x:c r="Q483" s="68"/>
      <x:c r="R483" s="68"/>
      <x:c r="S483" s="68"/>
      <x:c r="T483" s="68"/>
      <x:c r="U483" s="68"/>
      <x:c r="V483" s="68"/>
      <x:c r="W483" s="68"/>
      <x:c r="X483" s="68"/>
      <x:c r="Y483" s="68"/>
      <x:c r="Z483" s="68"/>
    </x:row>
    <x:row r="484">
      <x:c r="A484" s="68"/>
      <x:c r="B484" s="68"/>
      <x:c r="C484" s="68"/>
      <x:c r="D484" s="68"/>
      <x:c r="E484" s="68"/>
      <x:c r="F484" s="68"/>
      <x:c r="G484" s="68"/>
      <x:c r="H484" s="68"/>
      <x:c r="I484" s="68"/>
      <x:c r="J484" s="68"/>
      <x:c r="K484" s="68"/>
      <x:c r="L484" s="68"/>
      <x:c r="M484" s="68"/>
      <x:c r="N484" s="68"/>
      <x:c r="O484" s="68"/>
      <x:c r="P484" s="68"/>
      <x:c r="Q484" s="68"/>
      <x:c r="R484" s="68"/>
      <x:c r="S484" s="68"/>
      <x:c r="T484" s="68"/>
      <x:c r="U484" s="68"/>
      <x:c r="V484" s="68"/>
      <x:c r="W484" s="68"/>
      <x:c r="X484" s="68"/>
      <x:c r="Y484" s="68"/>
      <x:c r="Z484" s="68"/>
    </x:row>
    <x:row r="485">
      <x:c r="A485" s="68"/>
      <x:c r="B485" s="68"/>
      <x:c r="C485" s="68"/>
      <x:c r="D485" s="68"/>
      <x:c r="E485" s="68"/>
      <x:c r="F485" s="68"/>
      <x:c r="G485" s="68"/>
      <x:c r="H485" s="68"/>
      <x:c r="I485" s="68"/>
      <x:c r="J485" s="68"/>
      <x:c r="K485" s="68"/>
      <x:c r="L485" s="68"/>
      <x:c r="M485" s="68"/>
      <x:c r="N485" s="68"/>
      <x:c r="O485" s="68"/>
      <x:c r="P485" s="68"/>
      <x:c r="Q485" s="68"/>
      <x:c r="R485" s="68"/>
      <x:c r="S485" s="68"/>
      <x:c r="T485" s="68"/>
      <x:c r="U485" s="68"/>
      <x:c r="V485" s="68"/>
      <x:c r="W485" s="68"/>
      <x:c r="X485" s="68"/>
      <x:c r="Y485" s="68"/>
      <x:c r="Z485" s="68"/>
    </x:row>
    <x:row r="486">
      <x:c r="A486" s="68"/>
      <x:c r="B486" s="68"/>
      <x:c r="C486" s="68"/>
      <x:c r="D486" s="68"/>
      <x:c r="E486" s="68"/>
      <x:c r="F486" s="68"/>
      <x:c r="G486" s="68"/>
      <x:c r="H486" s="68"/>
      <x:c r="I486" s="68"/>
      <x:c r="J486" s="68"/>
      <x:c r="K486" s="68"/>
      <x:c r="L486" s="68"/>
      <x:c r="M486" s="68"/>
      <x:c r="N486" s="68"/>
      <x:c r="O486" s="68"/>
      <x:c r="P486" s="68"/>
      <x:c r="Q486" s="68"/>
      <x:c r="R486" s="68"/>
      <x:c r="S486" s="68"/>
      <x:c r="T486" s="68"/>
      <x:c r="U486" s="68"/>
      <x:c r="V486" s="68"/>
      <x:c r="W486" s="68"/>
      <x:c r="X486" s="68"/>
      <x:c r="Y486" s="68"/>
      <x:c r="Z486" s="68"/>
    </x:row>
    <x:row r="487">
      <x:c r="A487" s="68"/>
      <x:c r="B487" s="68"/>
      <x:c r="C487" s="68"/>
      <x:c r="D487" s="68"/>
      <x:c r="E487" s="68"/>
      <x:c r="F487" s="68"/>
      <x:c r="G487" s="68"/>
      <x:c r="H487" s="68"/>
      <x:c r="I487" s="68"/>
      <x:c r="J487" s="68"/>
      <x:c r="K487" s="68"/>
      <x:c r="L487" s="68"/>
      <x:c r="M487" s="68"/>
      <x:c r="N487" s="68"/>
      <x:c r="O487" s="68"/>
      <x:c r="P487" s="68"/>
      <x:c r="Q487" s="68"/>
      <x:c r="R487" s="68"/>
      <x:c r="S487" s="68"/>
      <x:c r="T487" s="68"/>
      <x:c r="U487" s="68"/>
      <x:c r="V487" s="68"/>
      <x:c r="W487" s="68"/>
      <x:c r="X487" s="68"/>
      <x:c r="Y487" s="68"/>
      <x:c r="Z487" s="68"/>
    </x:row>
    <x:row r="488">
      <x:c r="A488" s="68"/>
      <x:c r="B488" s="68"/>
      <x:c r="C488" s="68"/>
      <x:c r="D488" s="68"/>
      <x:c r="E488" s="68"/>
      <x:c r="F488" s="68"/>
      <x:c r="G488" s="68"/>
      <x:c r="H488" s="68"/>
      <x:c r="I488" s="68"/>
      <x:c r="J488" s="68"/>
      <x:c r="K488" s="68"/>
      <x:c r="L488" s="68"/>
      <x:c r="M488" s="68"/>
      <x:c r="N488" s="68"/>
      <x:c r="O488" s="68"/>
      <x:c r="P488" s="68"/>
      <x:c r="Q488" s="68"/>
      <x:c r="R488" s="68"/>
      <x:c r="S488" s="68"/>
      <x:c r="T488" s="68"/>
      <x:c r="U488" s="68"/>
      <x:c r="V488" s="68"/>
      <x:c r="W488" s="68"/>
      <x:c r="X488" s="68"/>
      <x:c r="Y488" s="68"/>
      <x:c r="Z488" s="68"/>
    </x:row>
    <x:row r="489">
      <x:c r="A489" s="68"/>
      <x:c r="B489" s="68"/>
      <x:c r="C489" s="68"/>
      <x:c r="D489" s="68"/>
      <x:c r="E489" s="68"/>
      <x:c r="F489" s="68"/>
      <x:c r="G489" s="68"/>
      <x:c r="H489" s="68"/>
      <x:c r="I489" s="68"/>
      <x:c r="J489" s="68"/>
      <x:c r="K489" s="68"/>
      <x:c r="L489" s="68"/>
      <x:c r="M489" s="68"/>
      <x:c r="N489" s="68"/>
      <x:c r="O489" s="68"/>
      <x:c r="P489" s="68"/>
      <x:c r="Q489" s="68"/>
      <x:c r="R489" s="68"/>
      <x:c r="S489" s="68"/>
      <x:c r="T489" s="68"/>
      <x:c r="U489" s="68"/>
      <x:c r="V489" s="68"/>
      <x:c r="W489" s="68"/>
      <x:c r="X489" s="68"/>
      <x:c r="Y489" s="68"/>
      <x:c r="Z489" s="68"/>
    </x:row>
    <x:row r="490">
      <x:c r="A490" s="68"/>
      <x:c r="B490" s="68"/>
      <x:c r="C490" s="68"/>
      <x:c r="D490" s="68"/>
      <x:c r="E490" s="68"/>
      <x:c r="F490" s="68"/>
      <x:c r="G490" s="68"/>
      <x:c r="H490" s="68"/>
      <x:c r="I490" s="68"/>
      <x:c r="J490" s="68"/>
      <x:c r="K490" s="68"/>
      <x:c r="L490" s="68"/>
      <x:c r="M490" s="68"/>
      <x:c r="N490" s="68"/>
      <x:c r="O490" s="68"/>
      <x:c r="P490" s="68"/>
      <x:c r="Q490" s="68"/>
      <x:c r="R490" s="68"/>
      <x:c r="S490" s="68"/>
      <x:c r="T490" s="68"/>
      <x:c r="U490" s="68"/>
      <x:c r="V490" s="68"/>
      <x:c r="W490" s="68"/>
      <x:c r="X490" s="68"/>
      <x:c r="Y490" s="68"/>
      <x:c r="Z490" s="68"/>
    </x:row>
    <x:row r="491">
      <x:c r="A491" s="68"/>
      <x:c r="B491" s="68"/>
      <x:c r="C491" s="68"/>
      <x:c r="D491" s="68"/>
      <x:c r="E491" s="68"/>
      <x:c r="F491" s="68"/>
      <x:c r="G491" s="68"/>
      <x:c r="H491" s="68"/>
      <x:c r="I491" s="68"/>
      <x:c r="J491" s="68"/>
      <x:c r="K491" s="68"/>
      <x:c r="L491" s="68"/>
      <x:c r="M491" s="68"/>
      <x:c r="N491" s="68"/>
      <x:c r="O491" s="68"/>
      <x:c r="P491" s="68"/>
      <x:c r="Q491" s="68"/>
      <x:c r="R491" s="68"/>
      <x:c r="S491" s="68"/>
      <x:c r="T491" s="68"/>
      <x:c r="U491" s="68"/>
      <x:c r="V491" s="68"/>
      <x:c r="W491" s="68"/>
      <x:c r="X491" s="68"/>
      <x:c r="Y491" s="68"/>
      <x:c r="Z491" s="68"/>
    </x:row>
    <x:row r="492">
      <x:c r="A492" s="68"/>
      <x:c r="B492" s="68"/>
      <x:c r="C492" s="68"/>
      <x:c r="D492" s="68"/>
      <x:c r="E492" s="68"/>
      <x:c r="F492" s="68"/>
      <x:c r="G492" s="68"/>
      <x:c r="H492" s="68"/>
      <x:c r="I492" s="68"/>
      <x:c r="J492" s="68"/>
      <x:c r="K492" s="68"/>
      <x:c r="L492" s="68"/>
      <x:c r="M492" s="68"/>
      <x:c r="N492" s="68"/>
      <x:c r="O492" s="68"/>
      <x:c r="P492" s="68"/>
      <x:c r="Q492" s="68"/>
      <x:c r="R492" s="68"/>
      <x:c r="S492" s="68"/>
      <x:c r="T492" s="68"/>
      <x:c r="U492" s="68"/>
      <x:c r="V492" s="68"/>
      <x:c r="W492" s="68"/>
      <x:c r="X492" s="68"/>
      <x:c r="Y492" s="68"/>
      <x:c r="Z492" s="68"/>
    </x:row>
    <x:row r="493">
      <x:c r="A493" s="68"/>
      <x:c r="B493" s="68"/>
      <x:c r="C493" s="68"/>
      <x:c r="D493" s="68"/>
      <x:c r="E493" s="68"/>
      <x:c r="F493" s="68"/>
      <x:c r="G493" s="68"/>
      <x:c r="H493" s="68"/>
      <x:c r="I493" s="68"/>
      <x:c r="J493" s="68"/>
      <x:c r="K493" s="68"/>
      <x:c r="L493" s="68"/>
      <x:c r="M493" s="68"/>
      <x:c r="N493" s="68"/>
      <x:c r="O493" s="68"/>
      <x:c r="P493" s="68"/>
      <x:c r="Q493" s="68"/>
      <x:c r="R493" s="68"/>
      <x:c r="S493" s="68"/>
      <x:c r="T493" s="68"/>
      <x:c r="U493" s="68"/>
      <x:c r="V493" s="68"/>
      <x:c r="W493" s="68"/>
      <x:c r="X493" s="68"/>
      <x:c r="Y493" s="68"/>
      <x:c r="Z493" s="68"/>
    </x:row>
    <x:row r="494">
      <x:c r="A494" s="68"/>
      <x:c r="B494" s="68"/>
      <x:c r="C494" s="68"/>
      <x:c r="D494" s="68"/>
      <x:c r="E494" s="68"/>
      <x:c r="F494" s="68"/>
      <x:c r="G494" s="68"/>
      <x:c r="H494" s="68"/>
      <x:c r="I494" s="68"/>
      <x:c r="J494" s="68"/>
      <x:c r="K494" s="68"/>
      <x:c r="L494" s="68"/>
      <x:c r="M494" s="68"/>
      <x:c r="N494" s="68"/>
      <x:c r="O494" s="68"/>
      <x:c r="P494" s="68"/>
      <x:c r="Q494" s="68"/>
      <x:c r="R494" s="68"/>
      <x:c r="S494" s="68"/>
      <x:c r="T494" s="68"/>
      <x:c r="U494" s="68"/>
      <x:c r="V494" s="68"/>
      <x:c r="W494" s="68"/>
      <x:c r="X494" s="68"/>
      <x:c r="Y494" s="68"/>
      <x:c r="Z494" s="68"/>
    </x:row>
    <x:row r="495">
      <x:c r="A495" s="68"/>
      <x:c r="B495" s="68"/>
      <x:c r="C495" s="68"/>
      <x:c r="D495" s="68"/>
      <x:c r="E495" s="68"/>
      <x:c r="F495" s="68"/>
      <x:c r="G495" s="68"/>
      <x:c r="H495" s="68"/>
      <x:c r="I495" s="68"/>
      <x:c r="J495" s="68"/>
      <x:c r="K495" s="68"/>
      <x:c r="L495" s="68"/>
      <x:c r="M495" s="68"/>
      <x:c r="N495" s="68"/>
      <x:c r="O495" s="68"/>
      <x:c r="P495" s="68"/>
      <x:c r="Q495" s="68"/>
      <x:c r="R495" s="68"/>
      <x:c r="S495" s="68"/>
      <x:c r="T495" s="68"/>
      <x:c r="U495" s="68"/>
      <x:c r="V495" s="68"/>
      <x:c r="W495" s="68"/>
      <x:c r="X495" s="68"/>
      <x:c r="Y495" s="68"/>
      <x:c r="Z495" s="68"/>
    </x:row>
    <x:row r="496">
      <x:c r="A496" s="68"/>
      <x:c r="B496" s="68"/>
      <x:c r="C496" s="68"/>
      <x:c r="D496" s="68"/>
      <x:c r="E496" s="68"/>
      <x:c r="F496" s="68"/>
      <x:c r="G496" s="68"/>
      <x:c r="H496" s="68"/>
      <x:c r="I496" s="68"/>
      <x:c r="J496" s="68"/>
      <x:c r="K496" s="68"/>
      <x:c r="L496" s="68"/>
      <x:c r="M496" s="68"/>
      <x:c r="N496" s="68"/>
      <x:c r="O496" s="68"/>
      <x:c r="P496" s="68"/>
      <x:c r="Q496" s="68"/>
      <x:c r="R496" s="68"/>
      <x:c r="S496" s="68"/>
      <x:c r="T496" s="68"/>
      <x:c r="U496" s="68"/>
      <x:c r="V496" s="68"/>
      <x:c r="W496" s="68"/>
      <x:c r="X496" s="68"/>
      <x:c r="Y496" s="68"/>
      <x:c r="Z496" s="68"/>
    </x:row>
    <x:row r="497">
      <x:c r="A497" s="68"/>
      <x:c r="B497" s="68"/>
      <x:c r="C497" s="68"/>
      <x:c r="D497" s="68"/>
      <x:c r="E497" s="68"/>
      <x:c r="F497" s="68"/>
      <x:c r="G497" s="68"/>
      <x:c r="H497" s="68"/>
      <x:c r="I497" s="68"/>
      <x:c r="J497" s="68"/>
      <x:c r="K497" s="68"/>
      <x:c r="L497" s="68"/>
      <x:c r="M497" s="68"/>
      <x:c r="N497" s="68"/>
      <x:c r="O497" s="68"/>
      <x:c r="P497" s="68"/>
      <x:c r="Q497" s="68"/>
      <x:c r="R497" s="68"/>
      <x:c r="S497" s="68"/>
      <x:c r="T497" s="68"/>
      <x:c r="U497" s="68"/>
      <x:c r="V497" s="68"/>
      <x:c r="W497" s="68"/>
      <x:c r="X497" s="68"/>
      <x:c r="Y497" s="68"/>
      <x:c r="Z497" s="68"/>
    </x:row>
    <x:row r="498">
      <x:c r="A498" s="68"/>
      <x:c r="B498" s="68"/>
      <x:c r="C498" s="68"/>
      <x:c r="D498" s="68"/>
      <x:c r="E498" s="68"/>
      <x:c r="F498" s="68"/>
      <x:c r="G498" s="68"/>
      <x:c r="H498" s="68"/>
      <x:c r="I498" s="68"/>
      <x:c r="J498" s="68"/>
      <x:c r="K498" s="68"/>
      <x:c r="L498" s="68"/>
      <x:c r="M498" s="68"/>
      <x:c r="N498" s="68"/>
      <x:c r="O498" s="68"/>
      <x:c r="P498" s="68"/>
      <x:c r="Q498" s="68"/>
      <x:c r="R498" s="68"/>
      <x:c r="S498" s="68"/>
      <x:c r="T498" s="68"/>
      <x:c r="U498" s="68"/>
      <x:c r="V498" s="68"/>
      <x:c r="W498" s="68"/>
      <x:c r="X498" s="68"/>
      <x:c r="Y498" s="68"/>
      <x:c r="Z498" s="68"/>
    </x:row>
    <x:row r="499">
      <x:c r="A499" s="68"/>
      <x:c r="B499" s="68"/>
      <x:c r="C499" s="68"/>
      <x:c r="D499" s="68"/>
      <x:c r="E499" s="68"/>
      <x:c r="F499" s="68"/>
      <x:c r="G499" s="68"/>
      <x:c r="H499" s="68"/>
      <x:c r="I499" s="68"/>
      <x:c r="J499" s="68"/>
      <x:c r="K499" s="68"/>
      <x:c r="L499" s="68"/>
      <x:c r="M499" s="68"/>
      <x:c r="N499" s="68"/>
      <x:c r="O499" s="68"/>
      <x:c r="P499" s="68"/>
      <x:c r="Q499" s="68"/>
      <x:c r="R499" s="68"/>
      <x:c r="S499" s="68"/>
      <x:c r="T499" s="68"/>
      <x:c r="U499" s="68"/>
      <x:c r="V499" s="68"/>
      <x:c r="W499" s="68"/>
      <x:c r="X499" s="68"/>
      <x:c r="Y499" s="68"/>
      <x:c r="Z499" s="68"/>
    </x:row>
    <x:row r="500">
      <x:c r="A500" s="68"/>
      <x:c r="B500" s="68"/>
      <x:c r="C500" s="68"/>
      <x:c r="D500" s="68"/>
      <x:c r="E500" s="68"/>
      <x:c r="F500" s="68"/>
      <x:c r="G500" s="68"/>
      <x:c r="H500" s="68"/>
      <x:c r="I500" s="68"/>
      <x:c r="J500" s="68"/>
      <x:c r="K500" s="68"/>
      <x:c r="L500" s="68"/>
      <x:c r="M500" s="68"/>
      <x:c r="N500" s="68"/>
      <x:c r="O500" s="68"/>
      <x:c r="P500" s="68"/>
      <x:c r="Q500" s="68"/>
      <x:c r="R500" s="68"/>
      <x:c r="S500" s="68"/>
      <x:c r="T500" s="68"/>
      <x:c r="U500" s="68"/>
      <x:c r="V500" s="68"/>
      <x:c r="W500" s="68"/>
      <x:c r="X500" s="68"/>
      <x:c r="Y500" s="68"/>
      <x:c r="Z500" s="68"/>
    </x:row>
  </x:sheetData>
  <x:mergeCells>
    <x:mergeCell ref="A1:L1"/>
    <x:mergeCell ref="A5:K5"/>
    <x:mergeCell ref="A12:L12"/>
    <x:mergeCell ref="A23:H23"/>
  </x:mergeCells>
  <x:conditionalFormatting sqref="L14:L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221658e38b4740cd"/>
</x:worksheet>
</file>

<file path=xl/worksheets/sheet1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7.5" hidden="0" customWidth="1"/>
    <x:col min="3" max="3" width="18" hidden="0" customWidth="1"/>
    <x:col min="4" max="4" width="18" hidden="0" customWidth="1"/>
    <x:col min="5" max="5" width="18" hidden="0" customWidth="1"/>
    <x:col min="6" max="6" width="8" hidden="0" customWidth="1"/>
    <x:col min="7" max="7" width="11.25" hidden="0" customWidth="1"/>
    <x:col min="8" max="8" width="11.25" hidden="0" customWidth="1"/>
    <x:col min="9" max="9" width="13.130000114440918" hidden="0" customWidth="1"/>
    <x:col min="10" max="10" width="11.880000114440918" hidden="0" customWidth="1"/>
    <x:col min="11" max="11" width="19.75" hidden="0" customWidth="1"/>
    <x:col min="12" max="12" width="14.5" hidden="0" customWidth="1"/>
    <x:col min="13" max="13" width="14.25" hidden="0" customWidth="1"/>
    <x:col min="14" max="14" width="12.5" hidden="0" customWidth="1"/>
    <x:col min="15" max="15" width="9.880000114440918" hidden="0" customWidth="1"/>
    <x:col min="16" max="16" width="18" hidden="0" customWidth="1"/>
  </x:cols>
  <x:sheetData>
    <x:row r="1">
      <x:c r="A1" s="47" t="str">
        <x:v>Transazioni complete asta 2025/26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51" t="str">
        <x:v>ID</x:v>
      </x:c>
      <x:c r="B3" s="51" t="str">
        <x:v>Ruolo</x:v>
      </x:c>
      <x:c r="C3" s="51" t="str">
        <x:v>Nome</x:v>
      </x:c>
      <x:c r="D3" s="51" t="str">
        <x:v>Squadra</x:v>
      </x:c>
      <x:c r="E3" s="51" t="str">
        <x:v>Acquirente</x:v>
      </x:c>
      <x:c r="F3" s="51" t="str">
        <x:v>Prezzo</x:v>
      </x:c>
      <x:c r="G3" s="51" t="str">
        <x:v>Qt. iniziale</x:v>
      </x:c>
      <x:c r="H3" s="51" t="str">
        <x:v>Qt. attuale</x:v>
      </x:c>
      <x:c r="I3" s="51" t="str">
        <x:v>Δ quotazione</x:v>
      </x:c>
      <x:c r="J3" s="51" t="str">
        <x:v>FVM / 1000</x:v>
      </x:c>
      <x:c r="K3" s="51" t="str">
        <x:v>Prezzo atteso modello</x:v>
      </x:c>
      <x:c r="L3" s="51" t="str">
        <x:v>Residuo prezzo</x:v>
      </x:c>
      <x:c r="M3" s="51" t="str">
        <x:v>Prezzo / atteso</x:v>
      </x:c>
      <x:c r="N3" s="51" t="str">
        <x:v>Prezzo / Qt.I</x:v>
      </x:c>
      <x:c r="O3" s="51" t="str">
        <x:v>Tier FVM</x:v>
      </x:c>
      <x:c r="P3" s="51" t="str">
        <x:v>Foglio origine</x:v>
      </x:c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8" t="n">
        <x:v>572</x:v>
      </x:c>
      <x:c r="B4" s="68" t="str">
        <x:v>P</x:v>
      </x:c>
      <x:c r="C4" s="68" t="str">
        <x:v>Meret</x:v>
      </x:c>
      <x:c r="D4" s="68" t="str">
        <x:v>Napoli</x:v>
      </x:c>
      <x:c r="E4" s="68" t="str">
        <x:v>Simo Q</x:v>
      </x:c>
      <x:c r="F4" s="68" t="n">
        <x:v>45</x:v>
      </x:c>
      <x:c r="G4" s="68" t="n">
        <x:v>16</x:v>
      </x:c>
      <x:c r="H4" s="68" t="n">
        <x:v>16</x:v>
      </x:c>
      <x:c r="I4" s="68" t="n">
        <x:f>H4-G4</x:f>
        <x:v>0</x:v>
      </x:c>
      <x:c r="J4" s="68" t="n">
        <x:v>95</x:v>
      </x:c>
      <x:c r="K4" s="73" t="n">
        <x:f>MAX(1,VLOOKUP(B4,'Parametri Modello'!$A$4:$H$7,2,FALSE)+VLOOKUP(B4,'Parametri Modello'!$A$4:$H$7,3,FALSE)*J4)</x:f>
        <x:v>45.51119976421549</x:v>
      </x:c>
      <x:c r="L4" s="73" t="n">
        <x:f>F4-K4</x:f>
        <x:v>-0.5111997642154904</x:v>
      </x:c>
      <x:c r="M4" s="75" t="n">
        <x:f>F4/K4</x:f>
        <x:v>0.9887676051858901</x:v>
      </x:c>
      <x:c r="N4" s="75" t="n">
        <x:f>F4/G4</x:f>
        <x:v>2.8125</x:v>
      </x:c>
      <x:c r="O4" s="68" t="n">
        <x:v>1</x:v>
      </x:c>
      <x:c r="P4" s="68" t="str">
        <x:v>Portieri</x:v>
      </x:c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68" t="n">
        <x:v>4312</x:v>
      </x:c>
      <x:c r="B5" s="68" t="str">
        <x:v>P</x:v>
      </x:c>
      <x:c r="C5" s="68" t="str">
        <x:v>Maignan</x:v>
      </x:c>
      <x:c r="D5" s="68" t="str">
        <x:v>Milan</x:v>
      </x:c>
      <x:c r="E5" s="68" t="str">
        <x:v>Alessio</x:v>
      </x:c>
      <x:c r="F5" s="68" t="n">
        <x:v>43</x:v>
      </x:c>
      <x:c r="G5" s="68" t="n">
        <x:v>16</x:v>
      </x:c>
      <x:c r="H5" s="68" t="n">
        <x:v>16</x:v>
      </x:c>
      <x:c r="I5" s="68" t="n">
        <x:f>H5-G5</x:f>
        <x:v>0</x:v>
      </x:c>
      <x:c r="J5" s="68" t="n">
        <x:v>79</x:v>
      </x:c>
      <x:c r="K5" s="73" t="n">
        <x:f>MAX(1,VLOOKUP(B5,'Parametri Modello'!$A$4:$H$7,2,FALSE)+VLOOKUP(B5,'Parametri Modello'!$A$4:$H$7,3,FALSE)*J5)</x:f>
        <x:v>37.43945390623355</x:v>
      </x:c>
      <x:c r="L5" s="73" t="n">
        <x:f>F5-K5</x:f>
        <x:v>5.5605460937664475</x:v>
      </x:c>
      <x:c r="M5" s="75" t="n">
        <x:f>F5/K5</x:f>
        <x:v>1.1485210256456393</x:v>
      </x:c>
      <x:c r="N5" s="75" t="n">
        <x:f>F5/G5</x:f>
        <x:v>2.6875</x:v>
      </x:c>
      <x:c r="O5" s="68" t="n">
        <x:v>1</x:v>
      </x:c>
      <x:c r="P5" s="68" t="str">
        <x:v>Portieri</x:v>
      </x:c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68" t="n">
        <x:v>5841</x:v>
      </x:c>
      <x:c r="B6" s="68" t="str">
        <x:v>P</x:v>
      </x:c>
      <x:c r="C6" s="68" t="str">
        <x:v>Svilar</x:v>
      </x:c>
      <x:c r="D6" s="68" t="str">
        <x:v>Roma</x:v>
      </x:c>
      <x:c r="E6" s="68" t="str">
        <x:v>Andre</x:v>
      </x:c>
      <x:c r="F6" s="68" t="n">
        <x:v>42</x:v>
      </x:c>
      <x:c r="G6" s="68" t="n">
        <x:v>15</x:v>
      </x:c>
      <x:c r="H6" s="68" t="n">
        <x:v>16</x:v>
      </x:c>
      <x:c r="I6" s="68" t="n">
        <x:f>H6-G6</x:f>
        <x:v>1</x:v>
      </x:c>
      <x:c r="J6" s="68" t="n">
        <x:v>85</x:v>
      </x:c>
      <x:c r="K6" s="73" t="n">
        <x:f>MAX(1,VLOOKUP(B6,'Parametri Modello'!$A$4:$H$7,2,FALSE)+VLOOKUP(B6,'Parametri Modello'!$A$4:$H$7,3,FALSE)*J6)</x:f>
        <x:v>40.46635860297678</x:v>
      </x:c>
      <x:c r="L6" s="73" t="n">
        <x:f>F6-K6</x:f>
        <x:v>1.5336413970232172</x:v>
      </x:c>
      <x:c r="M6" s="75" t="n">
        <x:f>F6/K6</x:f>
        <x:v>1.0378991698282038</x:v>
      </x:c>
      <x:c r="N6" s="75" t="n">
        <x:f>F6/G6</x:f>
        <x:v>2.8</x:v>
      </x:c>
      <x:c r="O6" s="68" t="n">
        <x:v>1</x:v>
      </x:c>
      <x:c r="P6" s="68" t="str">
        <x:v>Portieri</x:v>
      </x:c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68" t="n">
        <x:v>4431</x:v>
      </x:c>
      <x:c r="B7" s="68" t="str">
        <x:v>P</x:v>
      </x:c>
      <x:c r="C7" s="68" t="str">
        <x:v>Carnesecchi</x:v>
      </x:c>
      <x:c r="D7" s="68" t="str">
        <x:v>Atalanta</x:v>
      </x:c>
      <x:c r="E7" s="68" t="str">
        <x:v>IO</x:v>
      </x:c>
      <x:c r="F7" s="68" t="n">
        <x:v>41</x:v>
      </x:c>
      <x:c r="G7" s="68" t="n">
        <x:v>14</x:v>
      </x:c>
      <x:c r="H7" s="68" t="n">
        <x:v>14</x:v>
      </x:c>
      <x:c r="I7" s="68" t="n">
        <x:f>H7-G7</x:f>
        <x:v>0</x:v>
      </x:c>
      <x:c r="J7" s="68" t="n">
        <x:v>66</x:v>
      </x:c>
      <x:c r="K7" s="73" t="n">
        <x:f>MAX(1,VLOOKUP(B7,'Parametri Modello'!$A$4:$H$7,2,FALSE)+VLOOKUP(B7,'Parametri Modello'!$A$4:$H$7,3,FALSE)*J7)</x:f>
        <x:v>30.881160396623226</x:v>
      </x:c>
      <x:c r="L7" s="73" t="n">
        <x:f>F7-K7</x:f>
        <x:v>10.118839603376774</x:v>
      </x:c>
      <x:c r="M7" s="75" t="n">
        <x:f>F7/K7</x:f>
        <x:v>1.327670316575385</x:v>
      </x:c>
      <x:c r="N7" s="75" t="n">
        <x:f>F7/G7</x:f>
        <x:v>2.9285714285714284</x:v>
      </x:c>
      <x:c r="O7" s="68" t="n">
        <x:v>1</x:v>
      </x:c>
      <x:c r="P7" s="68" t="str">
        <x:v>Portieri</x:v>
      </x:c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68" t="n">
        <x:v>5876</x:v>
      </x:c>
      <x:c r="B8" s="68" t="str">
        <x:v>P</x:v>
      </x:c>
      <x:c r="C8" s="68" t="str">
        <x:v>Di Gregorio</x:v>
      </x:c>
      <x:c r="D8" s="68" t="str">
        <x:v>Juventus</x:v>
      </x:c>
      <x:c r="E8" s="68" t="str">
        <x:v>Cri</x:v>
      </x:c>
      <x:c r="F8" s="68" t="n">
        <x:v>41</x:v>
      </x:c>
      <x:c r="G8" s="68" t="n">
        <x:v>16</x:v>
      </x:c>
      <x:c r="H8" s="68" t="n">
        <x:v>17</x:v>
      </x:c>
      <x:c r="I8" s="68" t="n">
        <x:f>H8-G8</x:f>
        <x:v>1</x:v>
      </x:c>
      <x:c r="J8" s="68" t="n">
        <x:v>87</x:v>
      </x:c>
      <x:c r="K8" s="73" t="n">
        <x:f>MAX(1,VLOOKUP(B8,'Parametri Modello'!$A$4:$H$7,2,FALSE)+VLOOKUP(B8,'Parametri Modello'!$A$4:$H$7,3,FALSE)*J8)</x:f>
        <x:v>41.47532683522452</x:v>
      </x:c>
      <x:c r="L8" s="73" t="n">
        <x:f>F8-K8</x:f>
        <x:v>-0.47532683522452146</x:v>
      </x:c>
      <x:c r="M8" s="75" t="n">
        <x:f>F8/K8</x:f>
        <x:v>0.9885395276783971</x:v>
      </x:c>
      <x:c r="N8" s="75" t="n">
        <x:f>F8/G8</x:f>
        <x:v>2.5625</x:v>
      </x:c>
      <x:c r="O8" s="68" t="n">
        <x:v>1</x:v>
      </x:c>
      <x:c r="P8" s="68" t="str">
        <x:v>Portieri</x:v>
      </x:c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68" t="n">
        <x:v>2428</x:v>
      </x:c>
      <x:c r="B9" s="68" t="str">
        <x:v>P</x:v>
      </x:c>
      <x:c r="C9" s="68" t="str">
        <x:v>Sommer</x:v>
      </x:c>
      <x:c r="D9" s="68" t="str">
        <x:v>Inter</x:v>
      </x:c>
      <x:c r="E9" s="68" t="str">
        <x:v>Carlo</x:v>
      </x:c>
      <x:c r="F9" s="68" t="n">
        <x:v>41</x:v>
      </x:c>
      <x:c r="G9" s="68" t="n">
        <x:v>16</x:v>
      </x:c>
      <x:c r="H9" s="68" t="n">
        <x:v>16</x:v>
      </x:c>
      <x:c r="I9" s="68" t="n">
        <x:f>H9-G9</x:f>
        <x:v>0</x:v>
      </x:c>
      <x:c r="J9" s="68" t="n">
        <x:v>86</x:v>
      </x:c>
      <x:c r="K9" s="73" t="n">
        <x:f>MAX(1,VLOOKUP(B9,'Parametri Modello'!$A$4:$H$7,2,FALSE)+VLOOKUP(B9,'Parametri Modello'!$A$4:$H$7,3,FALSE)*J9)</x:f>
        <x:v>40.97084271910066</x:v>
      </x:c>
      <x:c r="L9" s="73" t="n">
        <x:f>F9-K9</x:f>
        <x:v>0.029157280899340776</x:v>
      </x:c>
      <x:c r="M9" s="75" t="n">
        <x:f>F9/K9</x:f>
        <x:v>1.000711659291444</x:v>
      </x:c>
      <x:c r="N9" s="75" t="n">
        <x:f>F9/G9</x:f>
        <x:v>2.5625</x:v>
      </x:c>
      <x:c r="O9" s="68" t="n">
        <x:v>1</x:v>
      </x:c>
      <x:c r="P9" s="68" t="str">
        <x:v>Portieri</x:v>
      </x:c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68" t="n">
        <x:v>2521</x:v>
      </x:c>
      <x:c r="B10" s="68" t="str">
        <x:v>P</x:v>
      </x:c>
      <x:c r="C10" s="68" t="str">
        <x:v>De Gea</x:v>
      </x:c>
      <x:c r="D10" s="68" t="str">
        <x:v>Fiorentina</x:v>
      </x:c>
      <x:c r="E10" s="68" t="str">
        <x:v>Marco</x:v>
      </x:c>
      <x:c r="F10" s="68" t="n">
        <x:v>29</x:v>
      </x:c>
      <x:c r="G10" s="68" t="n">
        <x:v>14</x:v>
      </x:c>
      <x:c r="H10" s="68" t="n">
        <x:v>14</x:v>
      </x:c>
      <x:c r="I10" s="68" t="n">
        <x:f>H10-G10</x:f>
        <x:v>0</x:v>
      </x:c>
      <x:c r="J10" s="68" t="n">
        <x:v>64</x:v>
      </x:c>
      <x:c r="K10" s="73" t="n">
        <x:f>MAX(1,VLOOKUP(B10,'Parametri Modello'!$A$4:$H$7,2,FALSE)+VLOOKUP(B10,'Parametri Modello'!$A$4:$H$7,3,FALSE)*J10)</x:f>
        <x:v>29.872192164375488</x:v>
      </x:c>
      <x:c r="L10" s="73" t="n">
        <x:f>F10-K10</x:f>
        <x:v>-0.8721921643754875</x:v>
      </x:c>
      <x:c r="M10" s="75" t="n">
        <x:f>F10/K10</x:f>
        <x:v>0.9708025390444684</x:v>
      </x:c>
      <x:c r="N10" s="75" t="n">
        <x:f>F10/G10</x:f>
        <x:v>2.0714285714285716</x:v>
      </x:c>
      <x:c r="O10" s="68" t="n">
        <x:v>2</x:v>
      </x:c>
      <x:c r="P10" s="68" t="str">
        <x:v>Portieri</x:v>
      </x:c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68" t="n">
        <x:v>2814</x:v>
      </x:c>
      <x:c r="B11" s="68" t="str">
        <x:v>P</x:v>
      </x:c>
      <x:c r="C11" s="68" t="str">
        <x:v>Provedel</x:v>
      </x:c>
      <x:c r="D11" s="68" t="str">
        <x:v>Lazio</x:v>
      </x:c>
      <x:c r="E11" s="68" t="str">
        <x:v>IO</x:v>
      </x:c>
      <x:c r="F11" s="68" t="n">
        <x:v>22</x:v>
      </x:c>
      <x:c r="G11" s="68" t="n">
        <x:v>12</x:v>
      </x:c>
      <x:c r="H11" s="68" t="n">
        <x:v>12</x:v>
      </x:c>
      <x:c r="I11" s="68" t="n">
        <x:f>H11-G11</x:f>
        <x:v>0</x:v>
      </x:c>
      <x:c r="J11" s="68" t="n">
        <x:v>55</x:v>
      </x:c>
      <x:c r="K11" s="73" t="n">
        <x:f>MAX(1,VLOOKUP(B11,'Parametri Modello'!$A$4:$H$7,2,FALSE)+VLOOKUP(B11,'Parametri Modello'!$A$4:$H$7,3,FALSE)*J11)</x:f>
        <x:v>25.33183511926065</x:v>
      </x:c>
      <x:c r="L11" s="73" t="n">
        <x:f>F11-K11</x:f>
        <x:v>-3.3318351192606492</x:v>
      </x:c>
      <x:c r="M11" s="75" t="n">
        <x:f>F11/K11</x:f>
        <x:v>0.868472414115496</x:v>
      </x:c>
      <x:c r="N11" s="75" t="n">
        <x:f>F11/G11</x:f>
        <x:v>1.8333333333333333</x:v>
      </x:c>
      <x:c r="O11" s="68" t="n">
        <x:v>2</x:v>
      </x:c>
      <x:c r="P11" s="68" t="str">
        <x:v>Portieri</x:v>
      </x:c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68" t="n">
        <x:v>133</x:v>
      </x:c>
      <x:c r="B12" s="68" t="str">
        <x:v>P</x:v>
      </x:c>
      <x:c r="C12" s="68" t="str">
        <x:v>Skorupski</x:v>
      </x:c>
      <x:c r="D12" s="68" t="str">
        <x:v>Bologna</x:v>
      </x:c>
      <x:c r="E12" s="68" t="str">
        <x:v>Cri</x:v>
      </x:c>
      <x:c r="F12" s="68" t="n">
        <x:v>20</x:v>
      </x:c>
      <x:c r="G12" s="68" t="n">
        <x:v>10</x:v>
      </x:c>
      <x:c r="H12" s="68" t="n">
        <x:v>11</x:v>
      </x:c>
      <x:c r="I12" s="68" t="n">
        <x:f>H12-G12</x:f>
        <x:v>1</x:v>
      </x:c>
      <x:c r="J12" s="68" t="n">
        <x:v>50</x:v>
      </x:c>
      <x:c r="K12" s="73" t="n">
        <x:f>MAX(1,VLOOKUP(B12,'Parametri Modello'!$A$4:$H$7,2,FALSE)+VLOOKUP(B12,'Parametri Modello'!$A$4:$H$7,3,FALSE)*J12)</x:f>
        <x:v>22.809414538641292</x:v>
      </x:c>
      <x:c r="L12" s="73" t="n">
        <x:f>F12-K12</x:f>
        <x:v>-2.809414538641292</x:v>
      </x:c>
      <x:c r="M12" s="75" t="n">
        <x:f>F12/K12</x:f>
        <x:v>0.876830922868192</x:v>
      </x:c>
      <x:c r="N12" s="75" t="n">
        <x:f>F12/G12</x:f>
        <x:v>2</x:v>
      </x:c>
      <x:c r="O12" s="68" t="n">
        <x:v>2</x:v>
      </x:c>
      <x:c r="P12" s="68" t="str">
        <x:v>Portieri</x:v>
      </x:c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68" t="n">
        <x:v>2170</x:v>
      </x:c>
      <x:c r="B13" s="68" t="str">
        <x:v>P</x:v>
      </x:c>
      <x:c r="C13" s="68" t="str">
        <x:v>Milinkovic-Savic V.</x:v>
      </x:c>
      <x:c r="D13" s="68" t="str">
        <x:v>Napoli</x:v>
      </x:c>
      <x:c r="E13" s="68" t="str">
        <x:v>Simo Q</x:v>
      </x:c>
      <x:c r="F13" s="68" t="n">
        <x:v>13</x:v>
      </x:c>
      <x:c r="G13" s="68" t="n">
        <x:v>4</x:v>
      </x:c>
      <x:c r="H13" s="68" t="n">
        <x:v>4</x:v>
      </x:c>
      <x:c r="I13" s="68" t="n">
        <x:f>H13-G13</x:f>
        <x:v>0</x:v>
      </x:c>
      <x:c r="J13" s="68" t="n">
        <x:v>9</x:v>
      </x:c>
      <x:c r="K13" s="73" t="n">
        <x:f>MAX(1,VLOOKUP(B13,'Parametri Modello'!$A$4:$H$7,2,FALSE)+VLOOKUP(B13,'Parametri Modello'!$A$4:$H$7,3,FALSE)*J13)</x:f>
        <x:v>2.125565777562576</x:v>
      </x:c>
      <x:c r="L13" s="73" t="n">
        <x:f>F13-K13</x:f>
        <x:v>10.874434222437424</x:v>
      </x:c>
      <x:c r="M13" s="75" t="n">
        <x:f>F13/K13</x:f>
        <x:v>6.116018679462995</x:v>
      </x:c>
      <x:c r="N13" s="75" t="n">
        <x:f>F13/G13</x:f>
        <x:v>3.25</x:v>
      </x:c>
      <x:c r="O13" s="68" t="n">
        <x:v>4</x:v>
      </x:c>
      <x:c r="P13" s="68" t="str">
        <x:v>Portieri</x:v>
      </x:c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68" t="n">
        <x:v>6966</x:v>
      </x:c>
      <x:c r="B14" s="68" t="str">
        <x:v>P</x:v>
      </x:c>
      <x:c r="C14" s="68" t="str">
        <x:v>Butez</x:v>
      </x:c>
      <x:c r="D14" s="68" t="str">
        <x:v>Como</x:v>
      </x:c>
      <x:c r="E14" s="68" t="str">
        <x:v>Nicola</x:v>
      </x:c>
      <x:c r="F14" s="68" t="n">
        <x:v>10</x:v>
      </x:c>
      <x:c r="G14" s="68" t="n">
        <x:v>10</x:v>
      </x:c>
      <x:c r="H14" s="68" t="n">
        <x:v>11</x:v>
      </x:c>
      <x:c r="I14" s="68" t="n">
        <x:f>H14-G14</x:f>
        <x:v>1</x:v>
      </x:c>
      <x:c r="J14" s="68" t="n">
        <x:v>34</x:v>
      </x:c>
      <x:c r="K14" s="73" t="n">
        <x:f>MAX(1,VLOOKUP(B14,'Parametri Modello'!$A$4:$H$7,2,FALSE)+VLOOKUP(B14,'Parametri Modello'!$A$4:$H$7,3,FALSE)*J14)</x:f>
        <x:v>14.737668680659354</x:v>
      </x:c>
      <x:c r="L14" s="73" t="n">
        <x:f>F14-K14</x:f>
        <x:v>-4.737668680659354</x:v>
      </x:c>
      <x:c r="M14" s="75" t="n">
        <x:f>F14/K14</x:f>
        <x:v>0.6785333702828639</x:v>
      </x:c>
      <x:c r="N14" s="75" t="n">
        <x:f>F14/G14</x:f>
        <x:v>1</x:v>
      </x:c>
      <x:c r="O14" s="68" t="n">
        <x:v>2</x:v>
      </x:c>
      <x:c r="P14" s="68" t="str">
        <x:v>Portieri</x:v>
      </x:c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68" t="n">
        <x:v>4360</x:v>
      </x:c>
      <x:c r="B15" s="68" t="str">
        <x:v>P</x:v>
      </x:c>
      <x:c r="C15" s="68" t="str">
        <x:v>Caprile</x:v>
      </x:c>
      <x:c r="D15" s="68" t="str">
        <x:v>Cagliari</x:v>
      </x:c>
      <x:c r="E15" s="68" t="str">
        <x:v>Marco</x:v>
      </x:c>
      <x:c r="F15" s="68" t="n">
        <x:v>6</x:v>
      </x:c>
      <x:c r="G15" s="68" t="n">
        <x:v>7</x:v>
      </x:c>
      <x:c r="H15" s="68" t="n">
        <x:v>8</x:v>
      </x:c>
      <x:c r="I15" s="68" t="n">
        <x:f>H15-G15</x:f>
        <x:v>1</x:v>
      </x:c>
      <x:c r="J15" s="68" t="n">
        <x:v>19</x:v>
      </x:c>
      <x:c r="K15" s="73" t="n">
        <x:f>MAX(1,VLOOKUP(B15,'Parametri Modello'!$A$4:$H$7,2,FALSE)+VLOOKUP(B15,'Parametri Modello'!$A$4:$H$7,3,FALSE)*J15)</x:f>
        <x:v>7.170406938801287</x:v>
      </x:c>
      <x:c r="L15" s="73" t="n">
        <x:f>F15-K15</x:f>
        <x:v>-1.1704069388012872</x:v>
      </x:c>
      <x:c r="M15" s="75" t="n">
        <x:f>F15/K15</x:f>
        <x:v>0.8367725920173577</x:v>
      </x:c>
      <x:c r="N15" s="75" t="n">
        <x:f>F15/G15</x:f>
        <x:v>0.8571428571428571</x:v>
      </x:c>
      <x:c r="O15" s="68" t="n">
        <x:v>3</x:v>
      </x:c>
      <x:c r="P15" s="68" t="str">
        <x:v>Portieri</x:v>
      </x:c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68" t="n">
        <x:v>188</x:v>
      </x:c>
      <x:c r="B16" s="68" t="str">
        <x:v>P</x:v>
      </x:c>
      <x:c r="C16" s="68" t="str">
        <x:v>Leali</x:v>
      </x:c>
      <x:c r="D16" s="68" t="str">
        <x:v>Genoa</x:v>
      </x:c>
      <x:c r="E16" s="68" t="str">
        <x:v>Andre</x:v>
      </x:c>
      <x:c r="F16" s="68" t="n">
        <x:v>6</x:v>
      </x:c>
      <x:c r="G16" s="68" t="n">
        <x:v>8</x:v>
      </x:c>
      <x:c r="H16" s="68" t="n">
        <x:v>9</x:v>
      </x:c>
      <x:c r="I16" s="68" t="n">
        <x:f>H16-G16</x:f>
        <x:v>1</x:v>
      </x:c>
      <x:c r="J16" s="68" t="n">
        <x:v>30</x:v>
      </x:c>
      <x:c r="K16" s="73" t="n">
        <x:f>MAX(1,VLOOKUP(B16,'Parametri Modello'!$A$4:$H$7,2,FALSE)+VLOOKUP(B16,'Parametri Modello'!$A$4:$H$7,3,FALSE)*J16)</x:f>
        <x:v>12.71973221616387</x:v>
      </x:c>
      <x:c r="L16" s="73" t="n">
        <x:f>F16-K16</x:f>
        <x:v>-6.7197322161638695</x:v>
      </x:c>
      <x:c r="M16" s="75" t="n">
        <x:f>F16/K16</x:f>
        <x:v>0.47170804369414104</x:v>
      </x:c>
      <x:c r="N16" s="75" t="n">
        <x:f>F16/G16</x:f>
        <x:v>0.75</x:v>
      </x:c>
      <x:c r="O16" s="68" t="n">
        <x:v>2</x:v>
      </x:c>
      <x:c r="P16" s="68" t="str">
        <x:v>Portieri</x:v>
      </x:c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68" t="n">
        <x:v>6462</x:v>
      </x:c>
      <x:c r="B17" s="68" t="str">
        <x:v>P</x:v>
      </x:c>
      <x:c r="C17" s="68" t="str">
        <x:v>Okoye</x:v>
      </x:c>
      <x:c r="D17" s="68" t="str">
        <x:v>Udinese</x:v>
      </x:c>
      <x:c r="E17" s="68" t="str">
        <x:v>Andre</x:v>
      </x:c>
      <x:c r="F17" s="68" t="n">
        <x:v>6</x:v>
      </x:c>
      <x:c r="G17" s="68" t="n">
        <x:v>6</x:v>
      </x:c>
      <x:c r="H17" s="68" t="n">
        <x:v>5</x:v>
      </x:c>
      <x:c r="I17" s="68" t="n">
        <x:f>H17-G17</x:f>
        <x:v>-1</x:v>
      </x:c>
      <x:c r="J17" s="68" t="n">
        <x:v>15</x:v>
      </x:c>
      <x:c r="K17" s="73" t="n">
        <x:f>MAX(1,VLOOKUP(B17,'Parametri Modello'!$A$4:$H$7,2,FALSE)+VLOOKUP(B17,'Parametri Modello'!$A$4:$H$7,3,FALSE)*J17)</x:f>
        <x:v>5.152470474305803</x:v>
      </x:c>
      <x:c r="L17" s="73" t="n">
        <x:f>F17-K17</x:f>
        <x:v>0.8475295256941973</x:v>
      </x:c>
      <x:c r="M17" s="75" t="n">
        <x:f>F17/K17</x:f>
        <x:v>1.1644899335028962</x:v>
      </x:c>
      <x:c r="N17" s="75" t="n">
        <x:f>F17/G17</x:f>
        <x:v>1</x:v>
      </x:c>
      <x:c r="O17" s="68" t="n">
        <x:v>3</x:v>
      </x:c>
      <x:c r="P17" s="68" t="str">
        <x:v>Portieri</x:v>
      </x:c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68" t="n">
        <x:v>6641</x:v>
      </x:c>
      <x:c r="B18" s="68" t="str">
        <x:v>P</x:v>
      </x:c>
      <x:c r="C18" s="68" t="str">
        <x:v>Suzuki</x:v>
      </x:c>
      <x:c r="D18" s="68" t="str">
        <x:v>Parma</x:v>
      </x:c>
      <x:c r="E18" s="68" t="str">
        <x:v>Nicola</x:v>
      </x:c>
      <x:c r="F18" s="68" t="n">
        <x:v>6</x:v>
      </x:c>
      <x:c r="G18" s="68" t="n">
        <x:v>7</x:v>
      </x:c>
      <x:c r="H18" s="68" t="n">
        <x:v>7</x:v>
      </x:c>
      <x:c r="I18" s="68" t="n">
        <x:f>H18-G18</x:f>
        <x:v>0</x:v>
      </x:c>
      <x:c r="J18" s="68" t="n">
        <x:v>14</x:v>
      </x:c>
      <x:c r="K18" s="73" t="n">
        <x:f>MAX(1,VLOOKUP(B18,'Parametri Modello'!$A$4:$H$7,2,FALSE)+VLOOKUP(B18,'Parametri Modello'!$A$4:$H$7,3,FALSE)*J18)</x:f>
        <x:v>4.647986358181932</x:v>
      </x:c>
      <x:c r="L18" s="73" t="n">
        <x:f>F18-K18</x:f>
        <x:v>1.3520136418180684</x:v>
      </x:c>
      <x:c r="M18" s="75" t="n">
        <x:f>F18/K18</x:f>
        <x:v>1.290881585622147</x:v>
      </x:c>
      <x:c r="N18" s="75" t="n">
        <x:f>F18/G18</x:f>
        <x:v>0.8571428571428571</x:v>
      </x:c>
      <x:c r="O18" s="68" t="n">
        <x:v>3</x:v>
      </x:c>
      <x:c r="P18" s="68" t="str">
        <x:v>Portieri</x:v>
      </x:c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68" t="n">
        <x:v>761</x:v>
      </x:c>
      <x:c r="B19" s="68" t="str">
        <x:v>P</x:v>
      </x:c>
      <x:c r="C19" s="68" t="str">
        <x:v>Audero</x:v>
      </x:c>
      <x:c r="D19" s="68" t="str">
        <x:v>Cremonese</x:v>
      </x:c>
      <x:c r="E19" s="68" t="str">
        <x:v>Cri</x:v>
      </x:c>
      <x:c r="F19" s="68" t="n">
        <x:v>5</x:v>
      </x:c>
      <x:c r="G19" s="68" t="n">
        <x:v>5</x:v>
      </x:c>
      <x:c r="H19" s="68" t="n">
        <x:v>6</x:v>
      </x:c>
      <x:c r="I19" s="68" t="n">
        <x:f>H19-G19</x:f>
        <x:v>1</x:v>
      </x:c>
      <x:c r="J19" s="68" t="n">
        <x:v>13</x:v>
      </x:c>
      <x:c r="K19" s="73" t="n">
        <x:f>MAX(1,VLOOKUP(B19,'Parametri Modello'!$A$4:$H$7,2,FALSE)+VLOOKUP(B19,'Parametri Modello'!$A$4:$H$7,3,FALSE)*J19)</x:f>
        <x:v>4.1435022420580605</x:v>
      </x:c>
      <x:c r="L19" s="73" t="n">
        <x:f>F19-K19</x:f>
        <x:v>0.8564977579419395</x:v>
      </x:c>
      <x:c r="M19" s="75" t="n">
        <x:f>F19/K19</x:f>
        <x:v>1.2067086507757072</x:v>
      </x:c>
      <x:c r="N19" s="75" t="n">
        <x:f>F19/G19</x:f>
        <x:v>1</x:v>
      </x:c>
      <x:c r="O19" s="68" t="n">
        <x:v>3</x:v>
      </x:c>
      <x:c r="P19" s="68" t="str">
        <x:v>Portieri</x:v>
      </x:c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68" t="n">
        <x:v>2134</x:v>
      </x:c>
      <x:c r="B20" s="68" t="str">
        <x:v>P</x:v>
      </x:c>
      <x:c r="C20" s="68" t="str">
        <x:v>Falcone</x:v>
      </x:c>
      <x:c r="D20" s="68" t="str">
        <x:v>Lecce</x:v>
      </x:c>
      <x:c r="E20" s="68" t="str">
        <x:v>Carlo</x:v>
      </x:c>
      <x:c r="F20" s="68" t="n">
        <x:v>2</x:v>
      </x:c>
      <x:c r="G20" s="68" t="n">
        <x:v>6</x:v>
      </x:c>
      <x:c r="H20" s="68" t="n">
        <x:v>7</x:v>
      </x:c>
      <x:c r="I20" s="68" t="n">
        <x:f>H20-G20</x:f>
        <x:v>1</x:v>
      </x:c>
      <x:c r="J20" s="68" t="n">
        <x:v>18</x:v>
      </x:c>
      <x:c r="K20" s="73" t="n">
        <x:f>MAX(1,VLOOKUP(B20,'Parametri Modello'!$A$4:$H$7,2,FALSE)+VLOOKUP(B20,'Parametri Modello'!$A$4:$H$7,3,FALSE)*J20)</x:f>
        <x:v>6.665922822677416</x:v>
      </x:c>
      <x:c r="L20" s="73" t="n">
        <x:f>F20-K20</x:f>
        <x:v>-4.665922822677416</x:v>
      </x:c>
      <x:c r="M20" s="75" t="n">
        <x:f>F20/K20</x:f>
        <x:v>0.30003347671473424</x:v>
      </x:c>
      <x:c r="N20" s="75" t="n">
        <x:f>F20/G20</x:f>
        <x:v>0.3333333333333333</x:v>
      </x:c>
      <x:c r="O20" s="68" t="n">
        <x:v>3</x:v>
      </x:c>
      <x:c r="P20" s="68" t="str">
        <x:v>Portieri</x:v>
      </x:c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>
      <x:c r="A21" s="68" t="n">
        <x:v>6184</x:v>
      </x:c>
      <x:c r="B21" s="68" t="str">
        <x:v>P</x:v>
      </x:c>
      <x:c r="C21" s="68" t="str">
        <x:v>Martinelli T.</x:v>
      </x:c>
      <x:c r="D21" s="68" t="str">
        <x:v>Fiorentina</x:v>
      </x:c>
      <x:c r="E21" s="68" t="str">
        <x:v>Carlo</x:v>
      </x:c>
      <x:c r="F21" s="68" t="n">
        <x:v>2</x:v>
      </x:c>
      <x:c r="G21" s="68" t="n">
        <x:v>1</x:v>
      </x:c>
      <x:c r="H21" s="68" t="n">
        <x:v>1</x:v>
      </x:c>
      <x:c r="I21" s="68" t="n">
        <x:f>H21-G21</x:f>
        <x:v>0</x:v>
      </x:c>
      <x:c r="J21" s="68" t="n">
        <x:v>1</x:v>
      </x:c>
      <x:c r="K21" s="73" t="n">
        <x:f>MAX(1,VLOOKUP(B21,'Parametri Modello'!$A$4:$H$7,2,FALSE)+VLOOKUP(B21,'Parametri Modello'!$A$4:$H$7,3,FALSE)*J21)</x:f>
        <x:v>1</x:v>
      </x:c>
      <x:c r="L21" s="73" t="n">
        <x:f>F21-K21</x:f>
        <x:v>1</x:v>
      </x:c>
      <x:c r="M21" s="75" t="n">
        <x:f>F21/K21</x:f>
        <x:v>2</x:v>
      </x:c>
      <x:c r="N21" s="75" t="n">
        <x:f>F21/G21</x:f>
        <x:v>2</x:v>
      </x:c>
      <x:c r="O21" s="68" t="n">
        <x:v>4</x:v>
      </x:c>
      <x:c r="P21" s="68" t="str">
        <x:v>Portieri</x:v>
      </x:c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>
      <x:c r="A22" s="68" t="n">
        <x:v>4867</x:v>
      </x:c>
      <x:c r="B22" s="68" t="str">
        <x:v>P</x:v>
      </x:c>
      <x:c r="C22" s="68" t="str">
        <x:v>Turati</x:v>
      </x:c>
      <x:c r="D22" s="68" t="str">
        <x:v>Sassuolo</x:v>
      </x:c>
      <x:c r="E22" s="68" t="str">
        <x:v>Nicola</x:v>
      </x:c>
      <x:c r="F22" s="68" t="n">
        <x:v>2</x:v>
      </x:c>
      <x:c r="G22" s="68" t="n">
        <x:v>7</x:v>
      </x:c>
      <x:c r="H22" s="68" t="n">
        <x:v>6</x:v>
      </x:c>
      <x:c r="I22" s="68" t="n">
        <x:f>H22-G22</x:f>
        <x:v>-1</x:v>
      </x:c>
      <x:c r="J22" s="68" t="n">
        <x:v>7</x:v>
      </x:c>
      <x:c r="K22" s="73" t="n">
        <x:f>MAX(1,VLOOKUP(B22,'Parametri Modello'!$A$4:$H$7,2,FALSE)+VLOOKUP(B22,'Parametri Modello'!$A$4:$H$7,3,FALSE)*J22)</x:f>
        <x:v>1.1165975453148338</x:v>
      </x:c>
      <x:c r="L22" s="73" t="n">
        <x:f>F22-K22</x:f>
        <x:v>0.8834024546851662</x:v>
      </x:c>
      <x:c r="M22" s="75" t="n">
        <x:f>F22/K22</x:f>
        <x:v>1.7911556481490236</x:v>
      </x:c>
      <x:c r="N22" s="75" t="n">
        <x:f>F22/G22</x:f>
        <x:v>0.2857142857142857</x:v>
      </x:c>
      <x:c r="O22" s="68" t="n">
        <x:v>4</x:v>
      </x:c>
      <x:c r="P22" s="68" t="str">
        <x:v>Portieri</x:v>
      </x:c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>
      <x:c r="A23" s="68" t="n">
        <x:v>7179</x:v>
      </x:c>
      <x:c r="B23" s="68" t="str">
        <x:v>P</x:v>
      </x:c>
      <x:c r="C23" s="68" t="str">
        <x:v>Israel</x:v>
      </x:c>
      <x:c r="D23" s="68" t="str">
        <x:v>Torino</x:v>
      </x:c>
      <x:c r="E23" s="68" t="str">
        <x:v>Simo Q</x:v>
      </x:c>
      <x:c r="F23" s="68" t="n">
        <x:v>1</x:v>
      </x:c>
      <x:c r="G23" s="68" t="n">
        <x:v>9</x:v>
      </x:c>
      <x:c r="H23" s="68" t="n">
        <x:v>8</x:v>
      </x:c>
      <x:c r="I23" s="68" t="n">
        <x:f>H23-G23</x:f>
        <x:v>-1</x:v>
      </x:c>
      <x:c r="J23" s="68" t="n">
        <x:v>33</x:v>
      </x:c>
      <x:c r="K23" s="73" t="n">
        <x:f>MAX(1,VLOOKUP(B23,'Parametri Modello'!$A$4:$H$7,2,FALSE)+VLOOKUP(B23,'Parametri Modello'!$A$4:$H$7,3,FALSE)*J23)</x:f>
        <x:v>14.233184564535481</x:v>
      </x:c>
      <x:c r="L23" s="73" t="n">
        <x:f>F23-K23</x:f>
        <x:v>-13.233184564535481</x:v>
      </x:c>
      <x:c r="M23" s="75" t="n">
        <x:f>F23/K23</x:f>
        <x:v>0.07025834559130768</x:v>
      </x:c>
      <x:c r="N23" s="75" t="n">
        <x:f>F23/G23</x:f>
        <x:v>0.1111111111111111</x:v>
      </x:c>
      <x:c r="O23" s="68" t="n">
        <x:v>2</x:v>
      </x:c>
      <x:c r="P23" s="68" t="str">
        <x:v>Portieri</x:v>
      </x:c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>
      <x:c r="A24" s="68" t="n">
        <x:v>6482</x:v>
      </x:c>
      <x:c r="B24" s="68" t="str">
        <x:v>P</x:v>
      </x:c>
      <x:c r="C24" s="68" t="str">
        <x:v>Mandas</x:v>
      </x:c>
      <x:c r="D24" s="68" t="str">
        <x:v>Lazio</x:v>
      </x:c>
      <x:c r="E24" s="68" t="str">
        <x:v>Marco</x:v>
      </x:c>
      <x:c r="F24" s="68" t="n">
        <x:v>1</x:v>
      </x:c>
      <x:c r="G24" s="68" t="n">
        <x:v>3</x:v>
      </x:c>
      <x:c r="H24" s="68" t="n">
        <x:v>3</x:v>
      </x:c>
      <x:c r="I24" s="68" t="n">
        <x:f>H24-G24</x:f>
        <x:v>0</x:v>
      </x:c>
      <x:c r="J24" s="68" t="n">
        <x:v>3</x:v>
      </x:c>
      <x:c r="K24" s="73" t="n">
        <x:f>MAX(1,VLOOKUP(B24,'Parametri Modello'!$A$4:$H$7,2,FALSE)+VLOOKUP(B24,'Parametri Modello'!$A$4:$H$7,3,FALSE)*J24)</x:f>
        <x:v>1</x:v>
      </x:c>
      <x:c r="L24" s="73" t="n">
        <x:f>F24-K24</x:f>
        <x:v>0</x:v>
      </x:c>
      <x:c r="M24" s="75" t="n">
        <x:f>F24/K24</x:f>
        <x:v>1</x:v>
      </x:c>
      <x:c r="N24" s="75" t="n">
        <x:f>F24/G24</x:f>
        <x:v>0.3333333333333333</x:v>
      </x:c>
      <x:c r="O24" s="68" t="n">
        <x:v>4</x:v>
      </x:c>
      <x:c r="P24" s="68" t="str">
        <x:v>Portieri</x:v>
      </x:c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>
      <x:c r="A25" s="68" t="n">
        <x:v>4236</x:v>
      </x:c>
      <x:c r="B25" s="68" t="str">
        <x:v>P</x:v>
      </x:c>
      <x:c r="C25" s="68" t="str">
        <x:v>Muric</x:v>
      </x:c>
      <x:c r="D25" s="68" t="str">
        <x:v>Sassuolo</x:v>
      </x:c>
      <x:c r="E25" s="68" t="str">
        <x:v>Alessio</x:v>
      </x:c>
      <x:c r="F25" s="68" t="n">
        <x:v>1</x:v>
      </x:c>
      <x:c r="G25" s="68" t="n">
        <x:v>3</x:v>
      </x:c>
      <x:c r="H25" s="68" t="n">
        <x:v>3</x:v>
      </x:c>
      <x:c r="I25" s="68" t="n">
        <x:f>H25-G25</x:f>
        <x:v>0</x:v>
      </x:c>
      <x:c r="J25" s="68" t="n">
        <x:v>7</x:v>
      </x:c>
      <x:c r="K25" s="73" t="n">
        <x:f>MAX(1,VLOOKUP(B25,'Parametri Modello'!$A$4:$H$7,2,FALSE)+VLOOKUP(B25,'Parametri Modello'!$A$4:$H$7,3,FALSE)*J25)</x:f>
        <x:v>1.1165975453148338</x:v>
      </x:c>
      <x:c r="L25" s="73" t="n">
        <x:f>F25-K25</x:f>
        <x:v>-0.1165975453148338</x:v>
      </x:c>
      <x:c r="M25" s="75" t="n">
        <x:f>F25/K25</x:f>
        <x:v>0.8955778240745118</x:v>
      </x:c>
      <x:c r="N25" s="75" t="n">
        <x:f>F25/G25</x:f>
        <x:v>0.3333333333333333</x:v>
      </x:c>
      <x:c r="O25" s="68" t="n">
        <x:v>4</x:v>
      </x:c>
      <x:c r="P25" s="68" t="str">
        <x:v>Portieri</x:v>
      </x:c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>
      <x:c r="A26" s="68" t="n">
        <x:v>6842</x:v>
      </x:c>
      <x:c r="B26" s="68" t="str">
        <x:v>P</x:v>
      </x:c>
      <x:c r="C26" s="68" t="str">
        <x:v>Sava</x:v>
      </x:c>
      <x:c r="D26" s="68" t="str">
        <x:v>Udinese</x:v>
      </x:c>
      <x:c r="E26" s="68" t="str">
        <x:v>IO</x:v>
      </x:c>
      <x:c r="F26" s="68" t="n">
        <x:v>1</x:v>
      </x:c>
      <x:c r="G26" s="68" t="n">
        <x:v>4</x:v>
      </x:c>
      <x:c r="H26" s="68" t="n">
        <x:v>5</x:v>
      </x:c>
      <x:c r="I26" s="68" t="n">
        <x:f>H26-G26</x:f>
        <x:v>1</x:v>
      </x:c>
      <x:c r="J26" s="68" t="n">
        <x:v>11</x:v>
      </x:c>
      <x:c r="K26" s="73" t="n">
        <x:f>MAX(1,VLOOKUP(B26,'Parametri Modello'!$A$4:$H$7,2,FALSE)+VLOOKUP(B26,'Parametri Modello'!$A$4:$H$7,3,FALSE)*J26)</x:f>
        <x:v>3.1345340098103183</x:v>
      </x:c>
      <x:c r="L26" s="73" t="n">
        <x:f>F26-K26</x:f>
        <x:v>-2.1345340098103183</x:v>
      </x:c>
      <x:c r="M26" s="75" t="n">
        <x:f>F26/K26</x:f>
        <x:v>0.3190266868600713</x:v>
      </x:c>
      <x:c r="N26" s="75" t="n">
        <x:f>F26/G26</x:f>
        <x:v>0.25</x:v>
      </x:c>
      <x:c r="O26" s="68" t="n">
        <x:v>3</x:v>
      </x:c>
      <x:c r="P26" s="68" t="str">
        <x:v>Portieri</x:v>
      </x:c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>
      <x:c r="A27" s="68" t="n">
        <x:v>2815</x:v>
      </x:c>
      <x:c r="B27" s="68" t="str">
        <x:v>P</x:v>
      </x:c>
      <x:c r="C27" s="68" t="str">
        <x:v>Terracciano</x:v>
      </x:c>
      <x:c r="D27" s="68" t="str">
        <x:v>Milan</x:v>
      </x:c>
      <x:c r="E27" s="68" t="str">
        <x:v>Alessio</x:v>
      </x:c>
      <x:c r="F27" s="68" t="n">
        <x:v>1</x:v>
      </x:c>
      <x:c r="G27" s="68" t="n">
        <x:v>1</x:v>
      </x:c>
      <x:c r="H27" s="68" t="n">
        <x:v>1</x:v>
      </x:c>
      <x:c r="I27" s="68" t="n">
        <x:f>H27-G27</x:f>
        <x:v>0</x:v>
      </x:c>
      <x:c r="J27" s="68" t="n">
        <x:v>1</x:v>
      </x:c>
      <x:c r="K27" s="73" t="n">
        <x:f>MAX(1,VLOOKUP(B27,'Parametri Modello'!$A$4:$H$7,2,FALSE)+VLOOKUP(B27,'Parametri Modello'!$A$4:$H$7,3,FALSE)*J27)</x:f>
        <x:v>1</x:v>
      </x:c>
      <x:c r="L27" s="73" t="n">
        <x:f>F27-K27</x:f>
        <x:v>0</x:v>
      </x:c>
      <x:c r="M27" s="75" t="n">
        <x:f>F27/K27</x:f>
        <x:v>1</x:v>
      </x:c>
      <x:c r="N27" s="75" t="n">
        <x:f>F27/G27</x:f>
        <x:v>1</x:v>
      </x:c>
      <x:c r="O27" s="68" t="n">
        <x:v>4</x:v>
      </x:c>
      <x:c r="P27" s="68" t="str">
        <x:v>Portieri</x:v>
      </x:c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>
      <x:c r="A28" s="68" t="n">
        <x:v>5513</x:v>
      </x:c>
      <x:c r="B28" s="68" t="str">
        <x:v>D</x:v>
      </x:c>
      <x:c r="C28" s="68" t="str">
        <x:v>Dumfries</x:v>
      </x:c>
      <x:c r="D28" s="68" t="str">
        <x:v>Inter</x:v>
      </x:c>
      <x:c r="E28" s="68" t="str">
        <x:v>Nicola</x:v>
      </x:c>
      <x:c r="F28" s="68" t="n">
        <x:v>47</x:v>
      </x:c>
      <x:c r="G28" s="68" t="n">
        <x:v>20</x:v>
      </x:c>
      <x:c r="H28" s="68" t="n">
        <x:v>21</x:v>
      </x:c>
      <x:c r="I28" s="68" t="n">
        <x:f>H28-G28</x:f>
        <x:v>1</x:v>
      </x:c>
      <x:c r="J28" s="68" t="n">
        <x:v>107</x:v>
      </x:c>
      <x:c r="K28" s="73" t="n">
        <x:f>MAX(1,VLOOKUP(B28,'Parametri Modello'!$A$4:$H$7,2,FALSE)+VLOOKUP(B28,'Parametri Modello'!$A$4:$H$7,3,FALSE)*J28)</x:f>
        <x:v>49.6826752710294</x:v>
      </x:c>
      <x:c r="L28" s="73" t="n">
        <x:f>F28-K28</x:f>
        <x:v>-2.682675271029403</x:v>
      </x:c>
      <x:c r="M28" s="75" t="n">
        <x:f>F28/K28</x:f>
        <x:v>0.9460038080398279</x:v>
      </x:c>
      <x:c r="N28" s="75" t="n">
        <x:f>F28/G28</x:f>
        <x:v>2.35</x:v>
      </x:c>
      <x:c r="O28" s="68" t="n">
        <x:v>1</x:v>
      </x:c>
      <x:c r="P28" s="68" t="str">
        <x:v>Difensori</x:v>
      </x:c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>
      <x:c r="A29" s="68" t="n">
        <x:v>254</x:v>
      </x:c>
      <x:c r="B29" s="68" t="str">
        <x:v>D</x:v>
      </x:c>
      <x:c r="C29" s="68" t="str">
        <x:v>Dimarco</x:v>
      </x:c>
      <x:c r="D29" s="68" t="str">
        <x:v>Inter</x:v>
      </x:c>
      <x:c r="E29" s="68" t="str">
        <x:v>Marco</x:v>
      </x:c>
      <x:c r="F29" s="68" t="n">
        <x:v>40</x:v>
      </x:c>
      <x:c r="G29" s="68" t="n">
        <x:v>19</x:v>
      </x:c>
      <x:c r="H29" s="68" t="n">
        <x:v>19</x:v>
      </x:c>
      <x:c r="I29" s="68" t="n">
        <x:f>H29-G29</x:f>
        <x:v>0</x:v>
      </x:c>
      <x:c r="J29" s="68" t="n">
        <x:v>94</x:v>
      </x:c>
      <x:c r="K29" s="73" t="n">
        <x:f>MAX(1,VLOOKUP(B29,'Parametri Modello'!$A$4:$H$7,2,FALSE)+VLOOKUP(B29,'Parametri Modello'!$A$4:$H$7,3,FALSE)*J29)</x:f>
        <x:v>43.12976540900633</x:v>
      </x:c>
      <x:c r="L29" s="73" t="n">
        <x:f>F29-K29</x:f>
        <x:v>-3.129765409006332</x:v>
      </x:c>
      <x:c r="M29" s="75" t="n">
        <x:f>F29/K29</x:f>
        <x:v>0.9274337483794248</x:v>
      </x:c>
      <x:c r="N29" s="75" t="n">
        <x:f>F29/G29</x:f>
        <x:v>2.1052631578947367</x:v>
      </x:c>
      <x:c r="O29" s="68" t="n">
        <x:v>1</x:v>
      </x:c>
      <x:c r="P29" s="68" t="str">
        <x:v>Difensori</x:v>
      </x:c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>
      <x:c r="A30" s="68" t="n">
        <x:v>2788</x:v>
      </x:c>
      <x:c r="B30" s="68" t="str">
        <x:v>D</x:v>
      </x:c>
      <x:c r="C30" s="68" t="str">
        <x:v>Bremer</x:v>
      </x:c>
      <x:c r="D30" s="68" t="str">
        <x:v>Juventus</x:v>
      </x:c>
      <x:c r="E30" s="68" t="str">
        <x:v>Cri</x:v>
      </x:c>
      <x:c r="F30" s="68" t="n">
        <x:v>31</x:v>
      </x:c>
      <x:c r="G30" s="68" t="n">
        <x:v>13</x:v>
      </x:c>
      <x:c r="H30" s="68" t="n">
        <x:v>13</x:v>
      </x:c>
      <x:c r="I30" s="68" t="n">
        <x:f>H30-G30</x:f>
        <x:v>0</x:v>
      </x:c>
      <x:c r="J30" s="68" t="n">
        <x:v>50</x:v>
      </x:c>
      <x:c r="K30" s="73" t="n">
        <x:f>MAX(1,VLOOKUP(B30,'Parametri Modello'!$A$4:$H$7,2,FALSE)+VLOOKUP(B30,'Parametri Modello'!$A$4:$H$7,3,FALSE)*J30)</x:f>
        <x:v>20.950685876005164</x:v>
      </x:c>
      <x:c r="L30" s="73" t="n">
        <x:f>F30-K30</x:f>
        <x:v>10.049314123994836</x:v>
      </x:c>
      <x:c r="M30" s="75" t="n">
        <x:f>F30/K30</x:f>
        <x:v>1.479665161487831</x:v>
      </x:c>
      <x:c r="N30" s="75" t="n">
        <x:f>F30/G30</x:f>
        <x:v>2.3846153846153846</x:v>
      </x:c>
      <x:c r="O30" s="68" t="n">
        <x:v>1</x:v>
      </x:c>
      <x:c r="P30" s="68" t="str">
        <x:v>Difensori</x:v>
      </x:c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>
      <x:c r="A31" s="68" t="n">
        <x:v>2160</x:v>
      </x:c>
      <x:c r="B31" s="68" t="str">
        <x:v>D</x:v>
      </x:c>
      <x:c r="C31" s="68" t="str">
        <x:v>Gosens</x:v>
      </x:c>
      <x:c r="D31" s="68" t="str">
        <x:v>Fiorentina</x:v>
      </x:c>
      <x:c r="E31" s="68" t="str">
        <x:v>IO</x:v>
      </x:c>
      <x:c r="F31" s="68" t="n">
        <x:v>30</x:v>
      </x:c>
      <x:c r="G31" s="68" t="n">
        <x:v>18</x:v>
      </x:c>
      <x:c r="H31" s="68" t="n">
        <x:v>18</x:v>
      </x:c>
      <x:c r="I31" s="68" t="n">
        <x:f>H31-G31</x:f>
        <x:v>0</x:v>
      </x:c>
      <x:c r="J31" s="68" t="n">
        <x:v>83</x:v>
      </x:c>
      <x:c r="K31" s="73" t="n">
        <x:f>MAX(1,VLOOKUP(B31,'Parametri Modello'!$A$4:$H$7,2,FALSE)+VLOOKUP(B31,'Parametri Modello'!$A$4:$H$7,3,FALSE)*J31)</x:f>
        <x:v>37.58499552575604</x:v>
      </x:c>
      <x:c r="L31" s="73" t="n">
        <x:f>F31-K31</x:f>
        <x:v>-7.584995525756042</x:v>
      </x:c>
      <x:c r="M31" s="75" t="n">
        <x:f>F31/K31</x:f>
        <x:v>0.7981908626127616</x:v>
      </x:c>
      <x:c r="N31" s="75" t="n">
        <x:f>F31/G31</x:f>
        <x:v>1.6666666666666667</x:v>
      </x:c>
      <x:c r="O31" s="68" t="n">
        <x:v>1</x:v>
      </x:c>
      <x:c r="P31" s="68" t="str">
        <x:v>Difensori</x:v>
      </x:c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>
      <x:c r="A32" s="68" t="n">
        <x:v>2816</x:v>
      </x:c>
      <x:c r="B32" s="68" t="str">
        <x:v>D</x:v>
      </x:c>
      <x:c r="C32" s="68" t="str">
        <x:v>Di Lorenzo</x:v>
      </x:c>
      <x:c r="D32" s="68" t="str">
        <x:v>Napoli</x:v>
      </x:c>
      <x:c r="E32" s="68" t="str">
        <x:v>IO</x:v>
      </x:c>
      <x:c r="F32" s="68" t="n">
        <x:v>29</x:v>
      </x:c>
      <x:c r="G32" s="68" t="n">
        <x:v>14</x:v>
      </x:c>
      <x:c r="H32" s="68" t="n">
        <x:v>14</x:v>
      </x:c>
      <x:c r="I32" s="68" t="n">
        <x:f>H32-G32</x:f>
        <x:v>0</x:v>
      </x:c>
      <x:c r="J32" s="68" t="n">
        <x:v>53</x:v>
      </x:c>
      <x:c r="K32" s="73" t="n">
        <x:f>MAX(1,VLOOKUP(B32,'Parametri Modello'!$A$4:$H$7,2,FALSE)+VLOOKUP(B32,'Parametri Modello'!$A$4:$H$7,3,FALSE)*J32)</x:f>
        <x:v>22.462895844164333</x:v>
      </x:c>
      <x:c r="L32" s="73" t="n">
        <x:f>F32-K32</x:f>
        <x:v>6.537104155835667</x:v>
      </x:c>
      <x:c r="M32" s="75" t="n">
        <x:f>F32/K32</x:f>
        <x:v>1.291017872369913</x:v>
      </x:c>
      <x:c r="N32" s="75" t="n">
        <x:f>F32/G32</x:f>
        <x:v>2.0714285714285716</x:v>
      </x:c>
      <x:c r="O32" s="68" t="n">
        <x:v>1</x:v>
      </x:c>
      <x:c r="P32" s="68" t="str">
        <x:v>Difensori</x:v>
      </x:c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>
      <x:c r="A33" s="68" t="n">
        <x:v>2120</x:v>
      </x:c>
      <x:c r="B33" s="68" t="str">
        <x:v>D</x:v>
      </x:c>
      <x:c r="C33" s="68" t="str">
        <x:v>Bastoni</x:v>
      </x:c>
      <x:c r="D33" s="68" t="str">
        <x:v>Inter</x:v>
      </x:c>
      <x:c r="E33" s="68" t="str">
        <x:v>IO</x:v>
      </x:c>
      <x:c r="F33" s="68" t="n">
        <x:v>28</x:v>
      </x:c>
      <x:c r="G33" s="68" t="n">
        <x:v>16</x:v>
      </x:c>
      <x:c r="H33" s="68" t="n">
        <x:v>17</x:v>
      </x:c>
      <x:c r="I33" s="68" t="n">
        <x:f>H33-G33</x:f>
        <x:v>1</x:v>
      </x:c>
      <x:c r="J33" s="68" t="n">
        <x:v>76</x:v>
      </x:c>
      <x:c r="K33" s="73" t="n">
        <x:f>MAX(1,VLOOKUP(B33,'Parametri Modello'!$A$4:$H$7,2,FALSE)+VLOOKUP(B33,'Parametri Modello'!$A$4:$H$7,3,FALSE)*J33)</x:f>
        <x:v>34.05650560005131</x:v>
      </x:c>
      <x:c r="L33" s="73" t="n">
        <x:f>F33-K33</x:f>
        <x:v>-6.05650560005131</x:v>
      </x:c>
      <x:c r="M33" s="75" t="n">
        <x:f>F33/K33</x:f>
        <x:v>0.8221630348346078</x:v>
      </x:c>
      <x:c r="N33" s="75" t="n">
        <x:f>F33/G33</x:f>
        <x:v>1.75</x:v>
      </x:c>
      <x:c r="O33" s="68" t="n">
        <x:v>1</x:v>
      </x:c>
      <x:c r="P33" s="68" t="str">
        <x:v>Difensori</x:v>
      </x:c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>
      <x:c r="A34" s="68" t="n">
        <x:v>5885</x:v>
      </x:c>
      <x:c r="B34" s="68" t="str">
        <x:v>D</x:v>
      </x:c>
      <x:c r="C34" s="68" t="str">
        <x:v>Dodò</x:v>
      </x:c>
      <x:c r="D34" s="68" t="str">
        <x:v>Fiorentina</x:v>
      </x:c>
      <x:c r="E34" s="68" t="str">
        <x:v>Andre</x:v>
      </x:c>
      <x:c r="F34" s="68" t="n">
        <x:v>28</x:v>
      </x:c>
      <x:c r="G34" s="68" t="n">
        <x:v>11</x:v>
      </x:c>
      <x:c r="H34" s="68" t="n">
        <x:v>12</x:v>
      </x:c>
      <x:c r="I34" s="68" t="n">
        <x:f>H34-G34</x:f>
        <x:v>1</x:v>
      </x:c>
      <x:c r="J34" s="68" t="n">
        <x:v>44</x:v>
      </x:c>
      <x:c r="K34" s="73" t="n">
        <x:f>MAX(1,VLOOKUP(B34,'Parametri Modello'!$A$4:$H$7,2,FALSE)+VLOOKUP(B34,'Parametri Modello'!$A$4:$H$7,3,FALSE)*J34)</x:f>
        <x:v>17.92626593968682</x:v>
      </x:c>
      <x:c r="L34" s="73" t="n">
        <x:f>F34-K34</x:f>
        <x:v>10.073734060313178</x:v>
      </x:c>
      <x:c r="M34" s="75" t="n">
        <x:f>F34/K34</x:f>
        <x:v>1.5619538443871357</x:v>
      </x:c>
      <x:c r="N34" s="75" t="n">
        <x:f>F34/G34</x:f>
        <x:v>2.5454545454545454</x:v>
      </x:c>
      <x:c r="O34" s="68" t="n">
        <x:v>1</x:v>
      </x:c>
      <x:c r="P34" s="68" t="str">
        <x:v>Difensori</x:v>
      </x:c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>
      <x:c r="A35" s="68" t="n">
        <x:v>7181</x:v>
      </x:c>
      <x:c r="B35" s="68" t="str">
        <x:v>D</x:v>
      </x:c>
      <x:c r="C35" s="68" t="str">
        <x:v>Wesley</x:v>
      </x:c>
      <x:c r="D35" s="68" t="str">
        <x:v>Roma</x:v>
      </x:c>
      <x:c r="E35" s="68" t="str">
        <x:v>Simo Q</x:v>
      </x:c>
      <x:c r="F35" s="68" t="n">
        <x:v>27</x:v>
      </x:c>
      <x:c r="G35" s="68" t="n">
        <x:v>14</x:v>
      </x:c>
      <x:c r="H35" s="68" t="n">
        <x:v>15</x:v>
      </x:c>
      <x:c r="I35" s="68" t="n">
        <x:f>H35-G35</x:f>
        <x:v>1</x:v>
      </x:c>
      <x:c r="J35" s="68" t="n">
        <x:v>52</x:v>
      </x:c>
      <x:c r="K35" s="73" t="n">
        <x:f>MAX(1,VLOOKUP(B35,'Parametri Modello'!$A$4:$H$7,2,FALSE)+VLOOKUP(B35,'Parametri Modello'!$A$4:$H$7,3,FALSE)*J35)</x:f>
        <x:v>21.958825854777942</x:v>
      </x:c>
      <x:c r="L35" s="73" t="n">
        <x:f>F35-K35</x:f>
        <x:v>5.041174145222058</x:v>
      </x:c>
      <x:c r="M35" s="75" t="n">
        <x:f>F35/K35</x:f>
        <x:v>1.2295739389055342</x:v>
      </x:c>
      <x:c r="N35" s="75" t="n">
        <x:f>F35/G35</x:f>
        <x:v>1.9285714285714286</x:v>
      </x:c>
      <x:c r="O35" s="68" t="n">
        <x:v>1</x:v>
      </x:c>
      <x:c r="P35" s="68" t="str">
        <x:v>Difensori</x:v>
      </x:c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>
      <x:c r="A36" s="68" t="n">
        <x:v>4772</x:v>
      </x:c>
      <x:c r="B36" s="68" t="str">
        <x:v>D</x:v>
      </x:c>
      <x:c r="C36" s="68" t="str">
        <x:v>Angelino</x:v>
      </x:c>
      <x:c r="D36" s="68" t="str">
        <x:v>Roma</x:v>
      </x:c>
      <x:c r="E36" s="68" t="str">
        <x:v>Andre</x:v>
      </x:c>
      <x:c r="F36" s="68" t="n">
        <x:v>26</x:v>
      </x:c>
      <x:c r="G36" s="68" t="n">
        <x:v>15</x:v>
      </x:c>
      <x:c r="H36" s="68" t="n">
        <x:v>15</x:v>
      </x:c>
      <x:c r="I36" s="68" t="n">
        <x:f>H36-G36</x:f>
        <x:v>0</x:v>
      </x:c>
      <x:c r="J36" s="68" t="n">
        <x:v>52</x:v>
      </x:c>
      <x:c r="K36" s="73" t="n">
        <x:f>MAX(1,VLOOKUP(B36,'Parametri Modello'!$A$4:$H$7,2,FALSE)+VLOOKUP(B36,'Parametri Modello'!$A$4:$H$7,3,FALSE)*J36)</x:f>
        <x:v>21.958825854777942</x:v>
      </x:c>
      <x:c r="L36" s="73" t="n">
        <x:f>F36-K36</x:f>
        <x:v>4.041174145222058</x:v>
      </x:c>
      <x:c r="M36" s="75" t="n">
        <x:f>F36/K36</x:f>
        <x:v>1.1840341633905145</x:v>
      </x:c>
      <x:c r="N36" s="75" t="n">
        <x:f>F36/G36</x:f>
        <x:v>1.7333333333333334</x:v>
      </x:c>
      <x:c r="O36" s="68" t="n">
        <x:v>1</x:v>
      </x:c>
      <x:c r="P36" s="68" t="str">
        <x:v>Difensori</x:v>
      </x:c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>
      <x:c r="A37" s="68" t="n">
        <x:v>2724</x:v>
      </x:c>
      <x:c r="B37" s="68" t="str">
        <x:v>D</x:v>
      </x:c>
      <x:c r="C37" s="68" t="str">
        <x:v>Buongiorno</x:v>
      </x:c>
      <x:c r="D37" s="68" t="str">
        <x:v>Napoli</x:v>
      </x:c>
      <x:c r="E37" s="68" t="str">
        <x:v>Cri</x:v>
      </x:c>
      <x:c r="F37" s="68" t="n">
        <x:v>25</x:v>
      </x:c>
      <x:c r="G37" s="68" t="n">
        <x:v>13</x:v>
      </x:c>
      <x:c r="H37" s="68" t="n">
        <x:v>13</x:v>
      </x:c>
      <x:c r="I37" s="68" t="n">
        <x:f>H37-G37</x:f>
        <x:v>0</x:v>
      </x:c>
      <x:c r="J37" s="68" t="n">
        <x:v>42</x:v>
      </x:c>
      <x:c r="K37" s="73" t="n">
        <x:f>MAX(1,VLOOKUP(B37,'Parametri Modello'!$A$4:$H$7,2,FALSE)+VLOOKUP(B37,'Parametri Modello'!$A$4:$H$7,3,FALSE)*J37)</x:f>
        <x:v>16.91812596091404</x:v>
      </x:c>
      <x:c r="L37" s="73" t="n">
        <x:f>F37-K37</x:f>
        <x:v>8.08187403908596</x:v>
      </x:c>
      <x:c r="M37" s="75" t="n">
        <x:f>F37/K37</x:f>
        <x:v>1.4777050400119682</x:v>
      </x:c>
      <x:c r="N37" s="75" t="n">
        <x:f>F37/G37</x:f>
        <x:v>1.9230769230769231</x:v>
      </x:c>
      <x:c r="O37" s="68" t="n">
        <x:v>1</x:v>
      </x:c>
      <x:c r="P37" s="68" t="str">
        <x:v>Difensori</x:v>
      </x:c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>
      <x:c r="A38" s="68" t="n">
        <x:v>5520</x:v>
      </x:c>
      <x:c r="B38" s="68" t="str">
        <x:v>D</x:v>
      </x:c>
      <x:c r="C38" s="68" t="str">
        <x:v>Cambiaso</x:v>
      </x:c>
      <x:c r="D38" s="68" t="str">
        <x:v>Juventus</x:v>
      </x:c>
      <x:c r="E38" s="68" t="str">
        <x:v>Cri</x:v>
      </x:c>
      <x:c r="F38" s="68" t="n">
        <x:v>25</x:v>
      </x:c>
      <x:c r="G38" s="68" t="n">
        <x:v>15</x:v>
      </x:c>
      <x:c r="H38" s="68" t="n">
        <x:v>14</x:v>
      </x:c>
      <x:c r="I38" s="68" t="n">
        <x:f>H38-G38</x:f>
        <x:v>-1</x:v>
      </x:c>
      <x:c r="J38" s="68" t="n">
        <x:v>56</x:v>
      </x:c>
      <x:c r="K38" s="73" t="n">
        <x:f>MAX(1,VLOOKUP(B38,'Parametri Modello'!$A$4:$H$7,2,FALSE)+VLOOKUP(B38,'Parametri Modello'!$A$4:$H$7,3,FALSE)*J38)</x:f>
        <x:v>23.975105812323505</x:v>
      </x:c>
      <x:c r="L38" s="73" t="n">
        <x:f>F38-K38</x:f>
        <x:v>1.0248941876764945</x:v>
      </x:c>
      <x:c r="M38" s="75" t="n">
        <x:f>F38/K38</x:f>
        <x:v>1.0427482654591533</x:v>
      </x:c>
      <x:c r="N38" s="75" t="n">
        <x:f>F38/G38</x:f>
        <x:v>1.6666666666666667</x:v>
      </x:c>
      <x:c r="O38" s="68" t="n">
        <x:v>1</x:v>
      </x:c>
      <x:c r="P38" s="68" t="str">
        <x:v>Difensori</x:v>
      </x:c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>
      <x:c r="A39" s="68" t="n">
        <x:v>6956</x:v>
      </x:c>
      <x:c r="B39" s="68" t="str">
        <x:v>D</x:v>
      </x:c>
      <x:c r="C39" s="68" t="str">
        <x:v>Solet</x:v>
      </x:c>
      <x:c r="D39" s="68" t="str">
        <x:v>Udinese</x:v>
      </x:c>
      <x:c r="E39" s="68" t="str">
        <x:v>Simo Q</x:v>
      </x:c>
      <x:c r="F39" s="68" t="n">
        <x:v>21</x:v>
      </x:c>
      <x:c r="G39" s="68" t="n">
        <x:v>11</x:v>
      </x:c>
      <x:c r="H39" s="68" t="n">
        <x:v>11</x:v>
      </x:c>
      <x:c r="I39" s="68" t="n">
        <x:f>H39-G39</x:f>
        <x:v>0</x:v>
      </x:c>
      <x:c r="J39" s="68" t="n">
        <x:v>40</x:v>
      </x:c>
      <x:c r="K39" s="73" t="n">
        <x:f>MAX(1,VLOOKUP(B39,'Parametri Modello'!$A$4:$H$7,2,FALSE)+VLOOKUP(B39,'Parametri Modello'!$A$4:$H$7,3,FALSE)*J39)</x:f>
        <x:v>15.909985982141258</x:v>
      </x:c>
      <x:c r="L39" s="73" t="n">
        <x:f>F39-K39</x:f>
        <x:v>5.090014017858742</x:v>
      </x:c>
      <x:c r="M39" s="75" t="n">
        <x:f>F39/K39</x:f>
        <x:v>1.319925738688407</x:v>
      </x:c>
      <x:c r="N39" s="75" t="n">
        <x:f>F39/G39</x:f>
        <x:v>1.9090909090909092</x:v>
      </x:c>
      <x:c r="O39" s="68" t="n">
        <x:v>1</x:v>
      </x:c>
      <x:c r="P39" s="68" t="str">
        <x:v>Difensori</x:v>
      </x:c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>
      <x:c r="A40" s="68" t="n">
        <x:v>4317</x:v>
      </x:c>
      <x:c r="B40" s="68" t="str">
        <x:v>D</x:v>
      </x:c>
      <x:c r="C40" s="68" t="str">
        <x:v>N'Dicka</x:v>
      </x:c>
      <x:c r="D40" s="68" t="str">
        <x:v>Roma</x:v>
      </x:c>
      <x:c r="E40" s="68" t="str">
        <x:v>Carlo</x:v>
      </x:c>
      <x:c r="F40" s="68" t="n">
        <x:v>20</x:v>
      </x:c>
      <x:c r="G40" s="68" t="n">
        <x:v>10</x:v>
      </x:c>
      <x:c r="H40" s="68" t="n">
        <x:v>11</x:v>
      </x:c>
      <x:c r="I40" s="68" t="n">
        <x:f>H40-G40</x:f>
        <x:v>1</x:v>
      </x:c>
      <x:c r="J40" s="68" t="n">
        <x:v>26</x:v>
      </x:c>
      <x:c r="K40" s="73" t="n">
        <x:f>MAX(1,VLOOKUP(B40,'Parametri Modello'!$A$4:$H$7,2,FALSE)+VLOOKUP(B40,'Parametri Modello'!$A$4:$H$7,3,FALSE)*J40)</x:f>
        <x:v>8.853006130731796</x:v>
      </x:c>
      <x:c r="L40" s="73" t="n">
        <x:f>F40-K40</x:f>
        <x:v>11.146993869268204</x:v>
      </x:c>
      <x:c r="M40" s="75" t="n">
        <x:f>F40/K40</x:f>
        <x:v>2.259119637404655</x:v>
      </x:c>
      <x:c r="N40" s="75" t="n">
        <x:f>F40/G40</x:f>
        <x:v>2</x:v>
      </x:c>
      <x:c r="O40" s="68" t="n">
        <x:v>2</x:v>
      </x:c>
      <x:c r="P40" s="68" t="str">
        <x:v>Difensori</x:v>
      </x:c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>
      <x:c r="A41" s="68" t="n">
        <x:v>5620</x:v>
      </x:c>
      <x:c r="B41" s="68" t="str">
        <x:v>D</x:v>
      </x:c>
      <x:c r="C41" s="68" t="str">
        <x:v>Tavares N.</x:v>
      </x:c>
      <x:c r="D41" s="68" t="str">
        <x:v>Lazio</x:v>
      </x:c>
      <x:c r="E41" s="68" t="str">
        <x:v>Alessio</x:v>
      </x:c>
      <x:c r="F41" s="68" t="n">
        <x:v>20</x:v>
      </x:c>
      <x:c r="G41" s="68" t="n">
        <x:v>12</x:v>
      </x:c>
      <x:c r="H41" s="68" t="n">
        <x:v>12</x:v>
      </x:c>
      <x:c r="I41" s="68" t="n">
        <x:f>H41-G41</x:f>
        <x:v>0</x:v>
      </x:c>
      <x:c r="J41" s="68" t="n">
        <x:v>43</x:v>
      </x:c>
      <x:c r="K41" s="73" t="n">
        <x:f>MAX(1,VLOOKUP(B41,'Parametri Modello'!$A$4:$H$7,2,FALSE)+VLOOKUP(B41,'Parametri Modello'!$A$4:$H$7,3,FALSE)*J41)</x:f>
        <x:v>17.42219595030043</x:v>
      </x:c>
      <x:c r="L41" s="73" t="n">
        <x:f>F41-K41</x:f>
        <x:v>2.5778040496995693</x:v>
      </x:c>
      <x:c r="M41" s="75" t="n">
        <x:f>F41/K41</x:f>
        <x:v>1.1479609147465202</x:v>
      </x:c>
      <x:c r="N41" s="75" t="n">
        <x:f>F41/G41</x:f>
        <x:v>1.6666666666666667</x:v>
      </x:c>
      <x:c r="O41" s="68" t="n">
        <x:v>1</x:v>
      </x:c>
      <x:c r="P41" s="68" t="str">
        <x:v>Difensori</x:v>
      </x:c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>
      <x:c r="A42" s="68" t="n">
        <x:v>4433</x:v>
      </x:c>
      <x:c r="B42" s="68" t="str">
        <x:v>D</x:v>
      </x:c>
      <x:c r="C42" s="68" t="str">
        <x:v>Zortea</x:v>
      </x:c>
      <x:c r="D42" s="68" t="str">
        <x:v>Bologna</x:v>
      </x:c>
      <x:c r="E42" s="68" t="str">
        <x:v>IO</x:v>
      </x:c>
      <x:c r="F42" s="68" t="n">
        <x:v>20</x:v>
      </x:c>
      <x:c r="G42" s="68" t="n">
        <x:v>16</x:v>
      </x:c>
      <x:c r="H42" s="68" t="n">
        <x:v>16</x:v>
      </x:c>
      <x:c r="I42" s="68" t="n">
        <x:f>H42-G42</x:f>
        <x:v>0</x:v>
      </x:c>
      <x:c r="J42" s="68" t="n">
        <x:v>40</x:v>
      </x:c>
      <x:c r="K42" s="73" t="n">
        <x:f>MAX(1,VLOOKUP(B42,'Parametri Modello'!$A$4:$H$7,2,FALSE)+VLOOKUP(B42,'Parametri Modello'!$A$4:$H$7,3,FALSE)*J42)</x:f>
        <x:v>15.909985982141258</x:v>
      </x:c>
      <x:c r="L42" s="73" t="n">
        <x:f>F42-K42</x:f>
        <x:v>4.090014017858742</x:v>
      </x:c>
      <x:c r="M42" s="75" t="n">
        <x:f>F42/K42</x:f>
        <x:v>1.257072132084197</x:v>
      </x:c>
      <x:c r="N42" s="75" t="n">
        <x:f>F42/G42</x:f>
        <x:v>1.25</x:v>
      </x:c>
      <x:c r="O42" s="68" t="n">
        <x:v>1</x:v>
      </x:c>
      <x:c r="P42" s="68" t="str">
        <x:v>Difensori</x:v>
      </x:c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>
      <x:c r="A43" s="68" t="n">
        <x:v>4887</x:v>
      </x:c>
      <x:c r="B43" s="68" t="str">
        <x:v>D</x:v>
      </x:c>
      <x:c r="C43" s="68" t="str">
        <x:v>Bellanova</x:v>
      </x:c>
      <x:c r="D43" s="68" t="str">
        <x:v>Atalanta</x:v>
      </x:c>
      <x:c r="E43" s="68" t="str">
        <x:v>Marco</x:v>
      </x:c>
      <x:c r="F43" s="68" t="n">
        <x:v>17</x:v>
      </x:c>
      <x:c r="G43" s="68" t="n">
        <x:v>13</x:v>
      </x:c>
      <x:c r="H43" s="68" t="n">
        <x:v>13</x:v>
      </x:c>
      <x:c r="I43" s="68" t="n">
        <x:f>H43-G43</x:f>
        <x:v>0</x:v>
      </x:c>
      <x:c r="J43" s="68" t="n">
        <x:v>51</x:v>
      </x:c>
      <x:c r="K43" s="73" t="n">
        <x:f>MAX(1,VLOOKUP(B43,'Parametri Modello'!$A$4:$H$7,2,FALSE)+VLOOKUP(B43,'Parametri Modello'!$A$4:$H$7,3,FALSE)*J43)</x:f>
        <x:v>21.45475586539155</x:v>
      </x:c>
      <x:c r="L43" s="73" t="n">
        <x:f>F43-K43</x:f>
        <x:v>-4.454755865391551</x:v>
      </x:c>
      <x:c r="M43" s="75" t="n">
        <x:f>F43/K43</x:f>
        <x:v>0.7923651104053124</x:v>
      </x:c>
      <x:c r="N43" s="75" t="n">
        <x:f>F43/G43</x:f>
        <x:v>1.3076923076923077</x:v>
      </x:c>
      <x:c r="O43" s="68" t="n">
        <x:v>1</x:v>
      </x:c>
      <x:c r="P43" s="68" t="str">
        <x:v>Difensori</x:v>
      </x:c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>
      <x:c r="A44" s="68" t="n">
        <x:v>2593</x:v>
      </x:c>
      <x:c r="B44" s="68" t="str">
        <x:v>D</x:v>
      </x:c>
      <x:c r="C44" s="68" t="str">
        <x:v>Martin</x:v>
      </x:c>
      <x:c r="D44" s="68" t="str">
        <x:v>Genoa</x:v>
      </x:c>
      <x:c r="E44" s="68" t="str">
        <x:v>Alessio</x:v>
      </x:c>
      <x:c r="F44" s="68" t="n">
        <x:v>17</x:v>
      </x:c>
      <x:c r="G44" s="68" t="n">
        <x:v>10</x:v>
      </x:c>
      <x:c r="H44" s="68" t="n">
        <x:v>10</x:v>
      </x:c>
      <x:c r="I44" s="68" t="n">
        <x:f>H44-G44</x:f>
        <x:v>0</x:v>
      </x:c>
      <x:c r="J44" s="68" t="n">
        <x:v>32</x:v>
      </x:c>
      <x:c r="K44" s="73" t="n">
        <x:f>MAX(1,VLOOKUP(B44,'Parametri Modello'!$A$4:$H$7,2,FALSE)+VLOOKUP(B44,'Parametri Modello'!$A$4:$H$7,3,FALSE)*J44)</x:f>
        <x:v>11.877426067050138</x:v>
      </x:c>
      <x:c r="L44" s="73" t="n">
        <x:f>F44-K44</x:f>
        <x:v>5.122573932949862</x:v>
      </x:c>
      <x:c r="M44" s="75" t="n">
        <x:f>F44/K44</x:f>
        <x:v>1.4312865349808992</x:v>
      </x:c>
      <x:c r="N44" s="75" t="n">
        <x:f>F44/G44</x:f>
        <x:v>1.7</x:v>
      </x:c>
      <x:c r="O44" s="68" t="n">
        <x:v>2</x:v>
      </x:c>
      <x:c r="P44" s="68" t="str">
        <x:v>Difensori</x:v>
      </x:c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>
      <x:c r="A45" s="68" t="n">
        <x:v>4409</x:v>
      </x:c>
      <x:c r="B45" s="68" t="str">
        <x:v>D</x:v>
      </x:c>
      <x:c r="C45" s="68" t="str">
        <x:v>Rrahmani</x:v>
      </x:c>
      <x:c r="D45" s="68" t="str">
        <x:v>Napoli</x:v>
      </x:c>
      <x:c r="E45" s="68" t="str">
        <x:v>Carlo</x:v>
      </x:c>
      <x:c r="F45" s="68" t="n">
        <x:v>15</x:v>
      </x:c>
      <x:c r="G45" s="68" t="n">
        <x:v>11</x:v>
      </x:c>
      <x:c r="H45" s="68" t="n">
        <x:v>11</x:v>
      </x:c>
      <x:c r="I45" s="68" t="n">
        <x:f>H45-G45</x:f>
        <x:v>0</x:v>
      </x:c>
      <x:c r="J45" s="68" t="n">
        <x:v>32</x:v>
      </x:c>
      <x:c r="K45" s="73" t="n">
        <x:f>MAX(1,VLOOKUP(B45,'Parametri Modello'!$A$4:$H$7,2,FALSE)+VLOOKUP(B45,'Parametri Modello'!$A$4:$H$7,3,FALSE)*J45)</x:f>
        <x:v>11.877426067050138</x:v>
      </x:c>
      <x:c r="L45" s="73" t="n">
        <x:f>F45-K45</x:f>
        <x:v>3.1225739329498623</x:v>
      </x:c>
      <x:c r="M45" s="75" t="n">
        <x:f>F45/K45</x:f>
        <x:v>1.2628998838066756</x:v>
      </x:c>
      <x:c r="N45" s="75" t="n">
        <x:f>F45/G45</x:f>
        <x:v>1.3636363636363635</x:v>
      </x:c>
      <x:c r="O45" s="68" t="n">
        <x:v>2</x:v>
      </x:c>
      <x:c r="P45" s="68" t="str">
        <x:v>Difensori</x:v>
      </x:c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>
      <x:c r="A46" s="68" t="n">
        <x:v>2296</x:v>
      </x:c>
      <x:c r="B46" s="68" t="str">
        <x:v>D</x:v>
      </x:c>
      <x:c r="C46" s="68" t="str">
        <x:v>Mancini</x:v>
      </x:c>
      <x:c r="D46" s="68" t="str">
        <x:v>Roma</x:v>
      </x:c>
      <x:c r="E46" s="68" t="str">
        <x:v>Cri</x:v>
      </x:c>
      <x:c r="F46" s="68" t="n">
        <x:v>13</x:v>
      </x:c>
      <x:c r="G46" s="68" t="n">
        <x:v>11</x:v>
      </x:c>
      <x:c r="H46" s="68" t="n">
        <x:v>11</x:v>
      </x:c>
      <x:c r="I46" s="68" t="n">
        <x:f>H46-G46</x:f>
        <x:v>0</x:v>
      </x:c>
      <x:c r="J46" s="68" t="n">
        <x:v>30</x:v>
      </x:c>
      <x:c r="K46" s="73" t="n">
        <x:f>MAX(1,VLOOKUP(B46,'Parametri Modello'!$A$4:$H$7,2,FALSE)+VLOOKUP(B46,'Parametri Modello'!$A$4:$H$7,3,FALSE)*J46)</x:f>
        <x:v>10.869286088277358</x:v>
      </x:c>
      <x:c r="L46" s="73" t="n">
        <x:f>F46-K46</x:f>
        <x:v>2.1307139117226424</x:v>
      </x:c>
      <x:c r="M46" s="75" t="n">
        <x:f>F46/K46</x:f>
        <x:v>1.1960307139233957</x:v>
      </x:c>
      <x:c r="N46" s="75" t="n">
        <x:f>F46/G46</x:f>
        <x:v>1.1818181818181819</x:v>
      </x:c>
      <x:c r="O46" s="68" t="n">
        <x:v>2</x:v>
      </x:c>
      <x:c r="P46" s="68" t="str">
        <x:v>Difensori</x:v>
      </x:c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>
      <x:c r="A47" s="68" t="n">
        <x:v>513</x:v>
      </x:c>
      <x:c r="B47" s="68" t="str">
        <x:v>D</x:v>
      </x:c>
      <x:c r="C47" s="68" t="str">
        <x:v>Acerbi</x:v>
      </x:c>
      <x:c r="D47" s="68" t="str">
        <x:v>Inter</x:v>
      </x:c>
      <x:c r="E47" s="68" t="str">
        <x:v>IO</x:v>
      </x:c>
      <x:c r="F47" s="68" t="n">
        <x:v>11</x:v>
      </x:c>
      <x:c r="G47" s="68" t="n">
        <x:v>9</x:v>
      </x:c>
      <x:c r="H47" s="68" t="n">
        <x:v>9</x:v>
      </x:c>
      <x:c r="I47" s="68" t="n">
        <x:f>H47-G47</x:f>
        <x:v>0</x:v>
      </x:c>
      <x:c r="J47" s="68" t="n">
        <x:v>26</x:v>
      </x:c>
      <x:c r="K47" s="73" t="n">
        <x:f>MAX(1,VLOOKUP(B47,'Parametri Modello'!$A$4:$H$7,2,FALSE)+VLOOKUP(B47,'Parametri Modello'!$A$4:$H$7,3,FALSE)*J47)</x:f>
        <x:v>8.853006130731796</x:v>
      </x:c>
      <x:c r="L47" s="73" t="n">
        <x:f>F47-K47</x:f>
        <x:v>2.1469938692682042</x:v>
      </x:c>
      <x:c r="M47" s="75" t="n">
        <x:f>F47/K47</x:f>
        <x:v>1.24251580057256</x:v>
      </x:c>
      <x:c r="N47" s="75" t="n">
        <x:f>F47/G47</x:f>
        <x:v>1.2222222222222223</x:v>
      </x:c>
      <x:c r="O47" s="68" t="n">
        <x:v>2</x:v>
      </x:c>
      <x:c r="P47" s="68" t="str">
        <x:v>Difensori</x:v>
      </x:c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>
      <x:c r="A48" s="68" t="n">
        <x:v>5273</x:v>
      </x:c>
      <x:c r="B48" s="68" t="str">
        <x:v>D</x:v>
      </x:c>
      <x:c r="C48" s="68" t="str">
        <x:v>Estupinan</x:v>
      </x:c>
      <x:c r="D48" s="68" t="str">
        <x:v>Milan</x:v>
      </x:c>
      <x:c r="E48" s="68" t="str">
        <x:v>Andre</x:v>
      </x:c>
      <x:c r="F48" s="68" t="n">
        <x:v>11</x:v>
      </x:c>
      <x:c r="G48" s="68" t="n">
        <x:v>11</x:v>
      </x:c>
      <x:c r="H48" s="68" t="n">
        <x:v>12</x:v>
      </x:c>
      <x:c r="I48" s="68" t="n">
        <x:f>H48-G48</x:f>
        <x:v>1</x:v>
      </x:c>
      <x:c r="J48" s="68" t="n">
        <x:v>39</x:v>
      </x:c>
      <x:c r="K48" s="73" t="n">
        <x:f>MAX(1,VLOOKUP(B48,'Parametri Modello'!$A$4:$H$7,2,FALSE)+VLOOKUP(B48,'Parametri Modello'!$A$4:$H$7,3,FALSE)*J48)</x:f>
        <x:v>15.40591599275487</x:v>
      </x:c>
      <x:c r="L48" s="73" t="n">
        <x:f>F48-K48</x:f>
        <x:v>-4.405915992754871</x:v>
      </x:c>
      <x:c r="M48" s="75" t="n">
        <x:f>F48/K48</x:f>
        <x:v>0.7140114229607059</x:v>
      </x:c>
      <x:c r="N48" s="75" t="n">
        <x:f>F48/G48</x:f>
        <x:v>1</x:v>
      </x:c>
      <x:c r="O48" s="68" t="n">
        <x:v>1</x:v>
      </x:c>
      <x:c r="P48" s="68" t="str">
        <x:v>Difensori</x:v>
      </x:c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>
      <x:c r="A49" s="68" t="n">
        <x:v>4976</x:v>
      </x:c>
      <x:c r="B49" s="68" t="str">
        <x:v>D</x:v>
      </x:c>
      <x:c r="C49" s="68" t="str">
        <x:v>Kalulu</x:v>
      </x:c>
      <x:c r="D49" s="68" t="str">
        <x:v>Juventus</x:v>
      </x:c>
      <x:c r="E49" s="68" t="str">
        <x:v>Alessio</x:v>
      </x:c>
      <x:c r="F49" s="68" t="n">
        <x:v>11</x:v>
      </x:c>
      <x:c r="G49" s="68" t="n">
        <x:v>9</x:v>
      </x:c>
      <x:c r="H49" s="68" t="n">
        <x:v>9</x:v>
      </x:c>
      <x:c r="I49" s="68" t="n">
        <x:f>H49-G49</x:f>
        <x:v>0</x:v>
      </x:c>
      <x:c r="J49" s="68" t="n">
        <x:v>28</x:v>
      </x:c>
      <x:c r="K49" s="73" t="n">
        <x:f>MAX(1,VLOOKUP(B49,'Parametri Modello'!$A$4:$H$7,2,FALSE)+VLOOKUP(B49,'Parametri Modello'!$A$4:$H$7,3,FALSE)*J49)</x:f>
        <x:v>9.861146109504578</x:v>
      </x:c>
      <x:c r="L49" s="73" t="n">
        <x:f>F49-K49</x:f>
        <x:v>1.1388538904954224</x:v>
      </x:c>
      <x:c r="M49" s="75" t="n">
        <x:f>F49/K49</x:f>
        <x:v>1.11548899872782</x:v>
      </x:c>
      <x:c r="N49" s="75" t="n">
        <x:f>F49/G49</x:f>
        <x:v>1.2222222222222223</x:v>
      </x:c>
      <x:c r="O49" s="68" t="n">
        <x:v>2</x:v>
      </x:c>
      <x:c r="P49" s="68" t="str">
        <x:v>Difensori</x:v>
      </x:c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>
      <x:c r="A50" s="68" t="n">
        <x:v>4734</x:v>
      </x:c>
      <x:c r="B50" s="68" t="str">
        <x:v>D</x:v>
      </x:c>
      <x:c r="C50" s="68" t="str">
        <x:v>Miranda J.</x:v>
      </x:c>
      <x:c r="D50" s="68" t="str">
        <x:v>Bologna</x:v>
      </x:c>
      <x:c r="E50" s="68" t="str">
        <x:v>Carlo</x:v>
      </x:c>
      <x:c r="F50" s="68" t="n">
        <x:v>11</x:v>
      </x:c>
      <x:c r="G50" s="68" t="n">
        <x:v>9</x:v>
      </x:c>
      <x:c r="H50" s="68" t="n">
        <x:v>8</x:v>
      </x:c>
      <x:c r="I50" s="68" t="n">
        <x:f>H50-G50</x:f>
        <x:v>-1</x:v>
      </x:c>
      <x:c r="J50" s="68" t="n">
        <x:v>21</x:v>
      </x:c>
      <x:c r="K50" s="73" t="n">
        <x:f>MAX(1,VLOOKUP(B50,'Parametri Modello'!$A$4:$H$7,2,FALSE)+VLOOKUP(B50,'Parametri Modello'!$A$4:$H$7,3,FALSE)*J50)</x:f>
        <x:v>6.332656183799845</x:v>
      </x:c>
      <x:c r="L50" s="73" t="n">
        <x:f>F50-K50</x:f>
        <x:v>4.667343816200155</x:v>
      </x:c>
      <x:c r="M50" s="75" t="n">
        <x:f>F50/K50</x:f>
        <x:v>1.7370278254076261</x:v>
      </x:c>
      <x:c r="N50" s="75" t="n">
        <x:f>F50/G50</x:f>
        <x:v>1.2222222222222223</x:v>
      </x:c>
      <x:c r="O50" s="68" t="n">
        <x:v>3</x:v>
      </x:c>
      <x:c r="P50" s="68" t="str">
        <x:v>Difensori</x:v>
      </x:c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>
      <x:c r="A51" s="68" t="n">
        <x:v>5835</x:v>
      </x:c>
      <x:c r="B51" s="68" t="str">
        <x:v>D</x:v>
      </x:c>
      <x:c r="C51" s="68" t="str">
        <x:v>Baschirotto</x:v>
      </x:c>
      <x:c r="D51" s="68" t="str">
        <x:v>Cremonese</x:v>
      </x:c>
      <x:c r="E51" s="68" t="str">
        <x:v>Carlo</x:v>
      </x:c>
      <x:c r="F51" s="68" t="n">
        <x:v>10</x:v>
      </x:c>
      <x:c r="G51" s="68" t="n">
        <x:v>8</x:v>
      </x:c>
      <x:c r="H51" s="68" t="n">
        <x:v>9</x:v>
      </x:c>
      <x:c r="I51" s="68" t="n">
        <x:f>H51-G51</x:f>
        <x:v>1</x:v>
      </x:c>
      <x:c r="J51" s="68" t="n">
        <x:v>23</x:v>
      </x:c>
      <x:c r="K51" s="73" t="n">
        <x:f>MAX(1,VLOOKUP(B51,'Parametri Modello'!$A$4:$H$7,2,FALSE)+VLOOKUP(B51,'Parametri Modello'!$A$4:$H$7,3,FALSE)*J51)</x:f>
        <x:v>7.340796162572625</x:v>
      </x:c>
      <x:c r="L51" s="73" t="n">
        <x:f>F51-K51</x:f>
        <x:v>2.659203837427375</x:v>
      </x:c>
      <x:c r="M51" s="75" t="n">
        <x:f>F51/K51</x:f>
        <x:v>1.362250058241018</x:v>
      </x:c>
      <x:c r="N51" s="75" t="n">
        <x:f>F51/G51</x:f>
        <x:v>1.25</x:v>
      </x:c>
      <x:c r="O51" s="68" t="n">
        <x:v>2</x:v>
      </x:c>
      <x:c r="P51" s="68" t="str">
        <x:v>Difensori</x:v>
      </x:c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>
      <x:c r="A52" s="68" t="n">
        <x:v>4751</x:v>
      </x:c>
      <x:c r="B52" s="68" t="str">
        <x:v>D</x:v>
      </x:c>
      <x:c r="C52" s="68" t="str">
        <x:v>Tomori</x:v>
      </x:c>
      <x:c r="D52" s="68" t="str">
        <x:v>Milan</x:v>
      </x:c>
      <x:c r="E52" s="68" t="str">
        <x:v>Carlo</x:v>
      </x:c>
      <x:c r="F52" s="68" t="n">
        <x:v>9</x:v>
      </x:c>
      <x:c r="G52" s="68" t="n">
        <x:v>8</x:v>
      </x:c>
      <x:c r="H52" s="68" t="n">
        <x:v>8</x:v>
      </x:c>
      <x:c r="I52" s="68" t="n">
        <x:f>H52-G52</x:f>
        <x:v>0</x:v>
      </x:c>
      <x:c r="J52" s="68" t="n">
        <x:v>25</x:v>
      </x:c>
      <x:c r="K52" s="73" t="n">
        <x:f>MAX(1,VLOOKUP(B52,'Parametri Modello'!$A$4:$H$7,2,FALSE)+VLOOKUP(B52,'Parametri Modello'!$A$4:$H$7,3,FALSE)*J52)</x:f>
        <x:v>8.348936141345407</x:v>
      </x:c>
      <x:c r="L52" s="73" t="n">
        <x:f>F52-K52</x:f>
        <x:v>0.6510638586545934</x:v>
      </x:c>
      <x:c r="M52" s="75" t="n">
        <x:f>F52/K52</x:f>
        <x:v>1.0779816551033863</x:v>
      </x:c>
      <x:c r="N52" s="75" t="n">
        <x:f>F52/G52</x:f>
        <x:v>1.125</x:v>
      </x:c>
      <x:c r="O52" s="68" t="n">
        <x:v>2</x:v>
      </x:c>
      <x:c r="P52" s="68" t="str">
        <x:v>Difensori</x:v>
      </x:c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>
      <x:c r="A53" s="68" t="n">
        <x:v>5877</x:v>
      </x:c>
      <x:c r="B53" s="68" t="str">
        <x:v>D</x:v>
      </x:c>
      <x:c r="C53" s="68" t="str">
        <x:v>Carlos Augusto</x:v>
      </x:c>
      <x:c r="D53" s="68" t="str">
        <x:v>Inter</x:v>
      </x:c>
      <x:c r="E53" s="68" t="str">
        <x:v>Carlo</x:v>
      </x:c>
      <x:c r="F53" s="68" t="n">
        <x:v>8</x:v>
      </x:c>
      <x:c r="G53" s="68" t="n">
        <x:v>10</x:v>
      </x:c>
      <x:c r="H53" s="68" t="n">
        <x:v>10</x:v>
      </x:c>
      <x:c r="I53" s="68" t="n">
        <x:f>H53-G53</x:f>
        <x:v>0</x:v>
      </x:c>
      <x:c r="J53" s="68" t="n">
        <x:v>31</x:v>
      </x:c>
      <x:c r="K53" s="73" t="n">
        <x:f>MAX(1,VLOOKUP(B53,'Parametri Modello'!$A$4:$H$7,2,FALSE)+VLOOKUP(B53,'Parametri Modello'!$A$4:$H$7,3,FALSE)*J53)</x:f>
        <x:v>11.373356077663747</x:v>
      </x:c>
      <x:c r="L53" s="73" t="n">
        <x:f>F53-K53</x:f>
        <x:v>-3.373356077663747</x:v>
      </x:c>
      <x:c r="M53" s="75" t="n">
        <x:f>F53/K53</x:f>
        <x:v>0.7033983588811823</x:v>
      </x:c>
      <x:c r="N53" s="75" t="n">
        <x:f>F53/G53</x:f>
        <x:v>0.8</x:v>
      </x:c>
      <x:c r="O53" s="68" t="n">
        <x:v>2</x:v>
      </x:c>
      <x:c r="P53" s="68" t="str">
        <x:v>Difensori</x:v>
      </x:c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>
      <x:c r="A54" s="68" t="n">
        <x:v>4385</x:v>
      </x:c>
      <x:c r="B54" s="68" t="str">
        <x:v>D</x:v>
      </x:c>
      <x:c r="C54" s="68" t="str">
        <x:v>Lazaro</x:v>
      </x:c>
      <x:c r="D54" s="68" t="str">
        <x:v>Torino</x:v>
      </x:c>
      <x:c r="E54" s="68" t="str">
        <x:v>Simo Q</x:v>
      </x:c>
      <x:c r="F54" s="68" t="n">
        <x:v>8</x:v>
      </x:c>
      <x:c r="G54" s="68" t="n">
        <x:v>7</x:v>
      </x:c>
      <x:c r="H54" s="68" t="n">
        <x:v>6</x:v>
      </x:c>
      <x:c r="I54" s="68" t="n">
        <x:f>H54-G54</x:f>
        <x:v>-1</x:v>
      </x:c>
      <x:c r="J54" s="68" t="n">
        <x:v>19</x:v>
      </x:c>
      <x:c r="K54" s="73" t="n">
        <x:f>MAX(1,VLOOKUP(B54,'Parametri Modello'!$A$4:$H$7,2,FALSE)+VLOOKUP(B54,'Parametri Modello'!$A$4:$H$7,3,FALSE)*J54)</x:f>
        <x:v>5.324516205027065</x:v>
      </x:c>
      <x:c r="L54" s="73" t="n">
        <x:f>F54-K54</x:f>
        <x:v>2.6754837949729353</x:v>
      </x:c>
      <x:c r="M54" s="75" t="n">
        <x:f>F54/K54</x:f>
        <x:v>1.5024839237876515</x:v>
      </x:c>
      <x:c r="N54" s="75" t="n">
        <x:f>F54/G54</x:f>
        <x:v>1.1428571428571428</x:v>
      </x:c>
      <x:c r="O54" s="68" t="n">
        <x:v>3</x:v>
      </x:c>
      <x:c r="P54" s="68" t="str">
        <x:v>Difensori</x:v>
      </x:c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>
      <x:c r="A55" s="68" t="n">
        <x:v>5862</x:v>
      </x:c>
      <x:c r="B55" s="68" t="str">
        <x:v>D</x:v>
      </x:c>
      <x:c r="C55" s="68" t="str">
        <x:v>Valeri</x:v>
      </x:c>
      <x:c r="D55" s="68" t="str">
        <x:v>Parma</x:v>
      </x:c>
      <x:c r="E55" s="68" t="str">
        <x:v>Simo Q</x:v>
      </x:c>
      <x:c r="F55" s="68" t="n">
        <x:v>8</x:v>
      </x:c>
      <x:c r="G55" s="68" t="n">
        <x:v>10</x:v>
      </x:c>
      <x:c r="H55" s="68" t="n">
        <x:v>10</x:v>
      </x:c>
      <x:c r="I55" s="68" t="n">
        <x:f>H55-G55</x:f>
        <x:v>0</x:v>
      </x:c>
      <x:c r="J55" s="68" t="n">
        <x:v>27</x:v>
      </x:c>
      <x:c r="K55" s="73" t="n">
        <x:f>MAX(1,VLOOKUP(B55,'Parametri Modello'!$A$4:$H$7,2,FALSE)+VLOOKUP(B55,'Parametri Modello'!$A$4:$H$7,3,FALSE)*J55)</x:f>
        <x:v>9.357076120118187</x:v>
      </x:c>
      <x:c r="L55" s="73" t="n">
        <x:f>F55-K55</x:f>
        <x:v>-1.3570761201181867</x:v>
      </x:c>
      <x:c r="M55" s="75" t="n">
        <x:f>F55/K55</x:f>
        <x:v>0.8549679298642869</x:v>
      </x:c>
      <x:c r="N55" s="75" t="n">
        <x:f>F55/G55</x:f>
        <x:v>0.8</x:v>
      </x:c>
      <x:c r="O55" s="68" t="n">
        <x:v>2</x:v>
      </x:c>
      <x:c r="P55" s="68" t="str">
        <x:v>Difensori</x:v>
      </x:c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>
      <x:c r="A56" s="68" t="n">
        <x:v>554</x:v>
      </x:c>
      <x:c r="B56" s="68" t="str">
        <x:v>D</x:v>
      </x:c>
      <x:c r="C56" s="68" t="str">
        <x:v>Zappacosta</x:v>
      </x:c>
      <x:c r="D56" s="68" t="str">
        <x:v>Atalanta</x:v>
      </x:c>
      <x:c r="E56" s="68" t="str">
        <x:v>Nicola</x:v>
      </x:c>
      <x:c r="F56" s="68" t="n">
        <x:v>8</x:v>
      </x:c>
      <x:c r="G56" s="68" t="n">
        <x:v>13</x:v>
      </x:c>
      <x:c r="H56" s="68" t="n">
        <x:v>13</x:v>
      </x:c>
      <x:c r="I56" s="68" t="n">
        <x:f>H56-G56</x:f>
        <x:v>0</x:v>
      </x:c>
      <x:c r="J56" s="68" t="n">
        <x:v>30</x:v>
      </x:c>
      <x:c r="K56" s="73" t="n">
        <x:f>MAX(1,VLOOKUP(B56,'Parametri Modello'!$A$4:$H$7,2,FALSE)+VLOOKUP(B56,'Parametri Modello'!$A$4:$H$7,3,FALSE)*J56)</x:f>
        <x:v>10.869286088277358</x:v>
      </x:c>
      <x:c r="L56" s="73" t="n">
        <x:f>F56-K56</x:f>
        <x:v>-2.8692860882773576</x:v>
      </x:c>
      <x:c r="M56" s="75" t="n">
        <x:f>F56/K56</x:f>
        <x:v>0.7360189008759358</x:v>
      </x:c>
      <x:c r="N56" s="75" t="n">
        <x:f>F56/G56</x:f>
        <x:v>0.6153846153846154</x:v>
      </x:c>
      <x:c r="O56" s="68" t="n">
        <x:v>2</x:v>
      </x:c>
      <x:c r="P56" s="68" t="str">
        <x:v>Difensori</x:v>
      </x:c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>
      <x:c r="A57" s="68" t="n">
        <x:v>4401</x:v>
      </x:c>
      <x:c r="B57" s="68" t="str">
        <x:v>D</x:v>
      </x:c>
      <x:c r="C57" s="68" t="str">
        <x:v>Gabbia</x:v>
      </x:c>
      <x:c r="D57" s="68" t="str">
        <x:v>Milan</x:v>
      </x:c>
      <x:c r="E57" s="68" t="str">
        <x:v>Cri</x:v>
      </x:c>
      <x:c r="F57" s="68" t="n">
        <x:v>7</x:v>
      </x:c>
      <x:c r="G57" s="68" t="n">
        <x:v>6</x:v>
      </x:c>
      <x:c r="H57" s="68" t="n">
        <x:v>7</x:v>
      </x:c>
      <x:c r="I57" s="68" t="n">
        <x:f>H57-G57</x:f>
        <x:v>1</x:v>
      </x:c>
      <x:c r="J57" s="68" t="n">
        <x:v>16</x:v>
      </x:c>
      <x:c r="K57" s="73" t="n">
        <x:f>MAX(1,VLOOKUP(B57,'Parametri Modello'!$A$4:$H$7,2,FALSE)+VLOOKUP(B57,'Parametri Modello'!$A$4:$H$7,3,FALSE)*J57)</x:f>
        <x:v>3.8123062368678937</x:v>
      </x:c>
      <x:c r="L57" s="73" t="n">
        <x:f>F57-K57</x:f>
        <x:v>3.1876937631321063</x:v>
      </x:c>
      <x:c r="M57" s="75" t="n">
        <x:f>F57/K57</x:f>
        <x:v>1.8361588930880444</x:v>
      </x:c>
      <x:c r="N57" s="75" t="n">
        <x:f>F57/G57</x:f>
        <x:v>1.1666666666666667</x:v>
      </x:c>
      <x:c r="O57" s="68" t="n">
        <x:v>4</x:v>
      </x:c>
      <x:c r="P57" s="68" t="str">
        <x:v>Difensori</x:v>
      </x:c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>
      <x:c r="A58" s="68" t="n">
        <x:v>5427</x:v>
      </x:c>
      <x:c r="B58" s="68" t="str">
        <x:v>D</x:v>
      </x:c>
      <x:c r="C58" s="68" t="str">
        <x:v>Gutierrez</x:v>
      </x:c>
      <x:c r="D58" s="68" t="str">
        <x:v>Napoli</x:v>
      </x:c>
      <x:c r="E58" s="68" t="str">
        <x:v>Andre</x:v>
      </x:c>
      <x:c r="F58" s="68" t="n">
        <x:v>7</x:v>
      </x:c>
      <x:c r="G58" s="68" t="n">
        <x:v>8</x:v>
      </x:c>
      <x:c r="H58" s="68" t="n">
        <x:v>7</x:v>
      </x:c>
      <x:c r="I58" s="68" t="n">
        <x:f>H58-G58</x:f>
        <x:v>-1</x:v>
      </x:c>
      <x:c r="J58" s="68" t="n">
        <x:v>18</x:v>
      </x:c>
      <x:c r="K58" s="73" t="n">
        <x:f>MAX(1,VLOOKUP(B58,'Parametri Modello'!$A$4:$H$7,2,FALSE)+VLOOKUP(B58,'Parametri Modello'!$A$4:$H$7,3,FALSE)*J58)</x:f>
        <x:v>4.820446215640674</x:v>
      </x:c>
      <x:c r="L58" s="73" t="n">
        <x:f>F58-K58</x:f>
        <x:v>2.1795537843593262</x:v>
      </x:c>
      <x:c r="M58" s="75" t="n">
        <x:f>F58/K58</x:f>
        <x:v>1.4521477238533294</x:v>
      </x:c>
      <x:c r="N58" s="75" t="n">
        <x:f>F58/G58</x:f>
        <x:v>0.875</x:v>
      </x:c>
      <x:c r="O58" s="68" t="n">
        <x:v>3</x:v>
      </x:c>
      <x:c r="P58" s="68" t="str">
        <x:v>Difensori</x:v>
      </x:c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>
      <x:c r="A59" s="68" t="n">
        <x:v>5833</x:v>
      </x:c>
      <x:c r="B59" s="68" t="str">
        <x:v>D</x:v>
      </x:c>
      <x:c r="C59" s="68" t="str">
        <x:v>Gila</x:v>
      </x:c>
      <x:c r="D59" s="68" t="str">
        <x:v>Lazio</x:v>
      </x:c>
      <x:c r="E59" s="68" t="str">
        <x:v>Nicola</x:v>
      </x:c>
      <x:c r="F59" s="68" t="n">
        <x:v>6</x:v>
      </x:c>
      <x:c r="G59" s="68" t="n">
        <x:v>9</x:v>
      </x:c>
      <x:c r="H59" s="68" t="n">
        <x:v>9</x:v>
      </x:c>
      <x:c r="I59" s="68" t="n">
        <x:f>H59-G59</x:f>
        <x:v>0</x:v>
      </x:c>
      <x:c r="J59" s="68" t="n">
        <x:v>20</x:v>
      </x:c>
      <x:c r="K59" s="73" t="n">
        <x:f>MAX(1,VLOOKUP(B59,'Parametri Modello'!$A$4:$H$7,2,FALSE)+VLOOKUP(B59,'Parametri Modello'!$A$4:$H$7,3,FALSE)*J59)</x:f>
        <x:v>5.828586194413454</x:v>
      </x:c>
      <x:c r="L59" s="73" t="n">
        <x:f>F59-K59</x:f>
        <x:v>0.17141380558654618</x:v>
      </x:c>
      <x:c r="M59" s="75" t="n">
        <x:f>F59/K59</x:f>
        <x:v>1.0294091568467911</x:v>
      </x:c>
      <x:c r="N59" s="75" t="n">
        <x:f>F59/G59</x:f>
        <x:v>0.6666666666666666</x:v>
      </x:c>
      <x:c r="O59" s="68" t="n">
        <x:v>3</x:v>
      </x:c>
      <x:c r="P59" s="68" t="str">
        <x:v>Difensori</x:v>
      </x:c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>
      <x:c r="A60" s="68" t="n">
        <x:v>6046</x:v>
      </x:c>
      <x:c r="B60" s="68" t="str">
        <x:v>D</x:v>
      </x:c>
      <x:c r="C60" s="68" t="str">
        <x:v>Hien</x:v>
      </x:c>
      <x:c r="D60" s="68" t="str">
        <x:v>Atalanta</x:v>
      </x:c>
      <x:c r="E60" s="68" t="str">
        <x:v>Nicola</x:v>
      </x:c>
      <x:c r="F60" s="68" t="n">
        <x:v>6</x:v>
      </x:c>
      <x:c r="G60" s="68" t="n">
        <x:v>11</x:v>
      </x:c>
      <x:c r="H60" s="68" t="n">
        <x:v>10</x:v>
      </x:c>
      <x:c r="I60" s="68" t="n">
        <x:f>H60-G60</x:f>
        <x:v>-1</x:v>
      </x:c>
      <x:c r="J60" s="68" t="n">
        <x:v>34</x:v>
      </x:c>
      <x:c r="K60" s="73" t="n">
        <x:f>MAX(1,VLOOKUP(B60,'Parametri Modello'!$A$4:$H$7,2,FALSE)+VLOOKUP(B60,'Parametri Modello'!$A$4:$H$7,3,FALSE)*J60)</x:f>
        <x:v>12.88556604582292</x:v>
      </x:c>
      <x:c r="L60" s="73" t="n">
        <x:f>F60-K60</x:f>
        <x:v>-6.8855660458229195</x:v>
      </x:c>
      <x:c r="M60" s="75" t="n">
        <x:f>F60/K60</x:f>
        <x:v>0.46563728583308955</x:v>
      </x:c>
      <x:c r="N60" s="75" t="n">
        <x:f>F60/G60</x:f>
        <x:v>0.5454545454545454</x:v>
      </x:c>
      <x:c r="O60" s="68" t="n">
        <x:v>2</x:v>
      </x:c>
      <x:c r="P60" s="68" t="str">
        <x:v>Difensori</x:v>
      </x:c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>
      <x:c r="A61" s="68" t="n">
        <x:v>5840</x:v>
      </x:c>
      <x:c r="B61" s="68" t="str">
        <x:v>D</x:v>
      </x:c>
      <x:c r="C61" s="68" t="str">
        <x:v>Olivera</x:v>
      </x:c>
      <x:c r="D61" s="68" t="str">
        <x:v>Napoli</x:v>
      </x:c>
      <x:c r="E61" s="68" t="str">
        <x:v>Nicola</x:v>
      </x:c>
      <x:c r="F61" s="68" t="n">
        <x:v>6</x:v>
      </x:c>
      <x:c r="G61" s="68" t="n">
        <x:v>10</x:v>
      </x:c>
      <x:c r="H61" s="68" t="n">
        <x:v>10</x:v>
      </x:c>
      <x:c r="I61" s="68" t="n">
        <x:f>H61-G61</x:f>
        <x:v>0</x:v>
      </x:c>
      <x:c r="J61" s="68" t="n">
        <x:v>21</x:v>
      </x:c>
      <x:c r="K61" s="73" t="n">
        <x:f>MAX(1,VLOOKUP(B61,'Parametri Modello'!$A$4:$H$7,2,FALSE)+VLOOKUP(B61,'Parametri Modello'!$A$4:$H$7,3,FALSE)*J61)</x:f>
        <x:v>6.332656183799845</x:v>
      </x:c>
      <x:c r="L61" s="73" t="n">
        <x:f>F61-K61</x:f>
        <x:v>-0.33265618379984474</x:v>
      </x:c>
      <x:c r="M61" s="75" t="n">
        <x:f>F61/K61</x:f>
        <x:v>0.9474697229496142</x:v>
      </x:c>
      <x:c r="N61" s="75" t="n">
        <x:f>F61/G61</x:f>
        <x:v>0.6</x:v>
      </x:c>
      <x:c r="O61" s="68" t="n">
        <x:v>3</x:v>
      </x:c>
      <x:c r="P61" s="68" t="str">
        <x:v>Difensori</x:v>
      </x:c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>
      <x:c r="A62" s="68" t="n">
        <x:v>5514</x:v>
      </x:c>
      <x:c r="B62" s="68" t="str">
        <x:v>D</x:v>
      </x:c>
      <x:c r="C62" s="68" t="str">
        <x:v>Vasquez</x:v>
      </x:c>
      <x:c r="D62" s="68" t="str">
        <x:v>Genoa</x:v>
      </x:c>
      <x:c r="E62" s="68" t="str">
        <x:v>Alessio</x:v>
      </x:c>
      <x:c r="F62" s="68" t="n">
        <x:v>6</x:v>
      </x:c>
      <x:c r="G62" s="68" t="n">
        <x:v>9</x:v>
      </x:c>
      <x:c r="H62" s="68" t="n">
        <x:v>10</x:v>
      </x:c>
      <x:c r="I62" s="68" t="n">
        <x:f>H62-G62</x:f>
        <x:v>1</x:v>
      </x:c>
      <x:c r="J62" s="68" t="n">
        <x:v>20</x:v>
      </x:c>
      <x:c r="K62" s="73" t="n">
        <x:f>MAX(1,VLOOKUP(B62,'Parametri Modello'!$A$4:$H$7,2,FALSE)+VLOOKUP(B62,'Parametri Modello'!$A$4:$H$7,3,FALSE)*J62)</x:f>
        <x:v>5.828586194413454</x:v>
      </x:c>
      <x:c r="L62" s="73" t="n">
        <x:f>F62-K62</x:f>
        <x:v>0.17141380558654618</x:v>
      </x:c>
      <x:c r="M62" s="75" t="n">
        <x:f>F62/K62</x:f>
        <x:v>1.0294091568467911</x:v>
      </x:c>
      <x:c r="N62" s="75" t="n">
        <x:f>F62/G62</x:f>
        <x:v>0.6666666666666666</x:v>
      </x:c>
      <x:c r="O62" s="68" t="n">
        <x:v>3</x:v>
      </x:c>
      <x:c r="P62" s="68" t="str">
        <x:v>Difensori</x:v>
      </x:c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>
      <x:c r="A63" s="68" t="n">
        <x:v>4159</x:v>
      </x:c>
      <x:c r="B63" s="68" t="str">
        <x:v>D</x:v>
      </x:c>
      <x:c r="C63" s="68" t="str">
        <x:v>Akanji</x:v>
      </x:c>
      <x:c r="D63" s="68" t="str">
        <x:v>Inter</x:v>
      </x:c>
      <x:c r="E63" s="68" t="str">
        <x:v>Nicola</x:v>
      </x:c>
      <x:c r="F63" s="68" t="n">
        <x:v>5</x:v>
      </x:c>
      <x:c r="G63" s="68" t="n">
        <x:v>9</x:v>
      </x:c>
      <x:c r="H63" s="68" t="n">
        <x:v>9</x:v>
      </x:c>
      <x:c r="I63" s="68" t="n">
        <x:f>H63-G63</x:f>
        <x:v>0</x:v>
      </x:c>
      <x:c r="J63" s="68" t="n">
        <x:v>20</x:v>
      </x:c>
      <x:c r="K63" s="73" t="n">
        <x:f>MAX(1,VLOOKUP(B63,'Parametri Modello'!$A$4:$H$7,2,FALSE)+VLOOKUP(B63,'Parametri Modello'!$A$4:$H$7,3,FALSE)*J63)</x:f>
        <x:v>5.828586194413454</x:v>
      </x:c>
      <x:c r="L63" s="73" t="n">
        <x:f>F63-K63</x:f>
        <x:v>-0.8285861944134538</x:v>
      </x:c>
      <x:c r="M63" s="75" t="n">
        <x:f>F63/K63</x:f>
        <x:v>0.8578409640389926</x:v>
      </x:c>
      <x:c r="N63" s="75" t="n">
        <x:f>F63/G63</x:f>
        <x:v>0.5555555555555556</x:v>
      </x:c>
      <x:c r="O63" s="68" t="n">
        <x:v>3</x:v>
      </x:c>
      <x:c r="P63" s="68" t="str">
        <x:v>Difensori</x:v>
      </x:c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>
      <x:c r="A64" s="68" t="n">
        <x:v>7175</x:v>
      </x:c>
      <x:c r="B64" s="68" t="str">
        <x:v>D</x:v>
      </x:c>
      <x:c r="C64" s="68" t="str">
        <x:v>Joao Mario</x:v>
      </x:c>
      <x:c r="D64" s="68" t="str">
        <x:v>Juventus</x:v>
      </x:c>
      <x:c r="E64" s="68" t="str">
        <x:v>Andre</x:v>
      </x:c>
      <x:c r="F64" s="68" t="n">
        <x:v>5</x:v>
      </x:c>
      <x:c r="G64" s="68" t="n">
        <x:v>8</x:v>
      </x:c>
      <x:c r="H64" s="68" t="n">
        <x:v>8</x:v>
      </x:c>
      <x:c r="I64" s="68" t="n">
        <x:f>H64-G64</x:f>
        <x:v>0</x:v>
      </x:c>
      <x:c r="J64" s="68" t="n">
        <x:v>17</x:v>
      </x:c>
      <x:c r="K64" s="73" t="n">
        <x:f>MAX(1,VLOOKUP(B64,'Parametri Modello'!$A$4:$H$7,2,FALSE)+VLOOKUP(B64,'Parametri Modello'!$A$4:$H$7,3,FALSE)*J64)</x:f>
        <x:v>4.316376226254285</x:v>
      </x:c>
      <x:c r="L64" s="73" t="n">
        <x:f>F64-K64</x:f>
        <x:v>0.6836237737457154</x:v>
      </x:c>
      <x:c r="M64" s="75" t="n">
        <x:f>F64/K64</x:f>
        <x:v>1.1583790980933464</x:v>
      </x:c>
      <x:c r="N64" s="75" t="n">
        <x:f>F64/G64</x:f>
        <x:v>0.625</x:v>
      </x:c>
      <x:c r="O64" s="68" t="n">
        <x:v>4</x:v>
      </x:c>
      <x:c r="P64" s="68" t="str">
        <x:v>Difensori</x:v>
      </x:c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>
      <x:c r="A65" s="68" t="n">
        <x:v>6814</x:v>
      </x:c>
      <x:c r="B65" s="68" t="str">
        <x:v>D</x:v>
      </x:c>
      <x:c r="C65" s="68" t="str">
        <x:v>Norton-Cuffy</x:v>
      </x:c>
      <x:c r="D65" s="68" t="str">
        <x:v>Genoa</x:v>
      </x:c>
      <x:c r="E65" s="68" t="str">
        <x:v>Carlo</x:v>
      </x:c>
      <x:c r="F65" s="68" t="n">
        <x:v>5</x:v>
      </x:c>
      <x:c r="G65" s="68" t="n">
        <x:v>3</x:v>
      </x:c>
      <x:c r="H65" s="68" t="n">
        <x:v>4</x:v>
      </x:c>
      <x:c r="I65" s="68" t="n">
        <x:f>H65-G65</x:f>
        <x:v>1</x:v>
      </x:c>
      <x:c r="J65" s="68" t="n">
        <x:v>11</x:v>
      </x:c>
      <x:c r="K65" s="73" t="n">
        <x:f>MAX(1,VLOOKUP(B65,'Parametri Modello'!$A$4:$H$7,2,FALSE)+VLOOKUP(B65,'Parametri Modello'!$A$4:$H$7,3,FALSE)*J65)</x:f>
        <x:v>1.2919562899359427</x:v>
      </x:c>
      <x:c r="L65" s="73" t="n">
        <x:f>F65-K65</x:f>
        <x:v>3.7080437100640573</x:v>
      </x:c>
      <x:c r="M65" s="75" t="n">
        <x:f>F65/K65</x:f>
        <x:v>3.8700999708340817</x:v>
      </x:c>
      <x:c r="N65" s="75" t="n">
        <x:f>F65/G65</x:f>
        <x:v>1.6666666666666667</x:v>
      </x:c>
      <x:c r="O65" s="68" t="n">
        <x:v>4</x:v>
      </x:c>
      <x:c r="P65" s="68" t="str">
        <x:v>Difensori</x:v>
      </x:c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>
      <x:c r="A66" s="68" t="n">
        <x:v>5526</x:v>
      </x:c>
      <x:c r="B66" s="68" t="str">
        <x:v>D</x:v>
      </x:c>
      <x:c r="C66" s="68" t="str">
        <x:v>Scalvini</x:v>
      </x:c>
      <x:c r="D66" s="68" t="str">
        <x:v>Atalanta</x:v>
      </x:c>
      <x:c r="E66" s="68" t="str">
        <x:v>Carlo</x:v>
      </x:c>
      <x:c r="F66" s="68" t="n">
        <x:v>5</x:v>
      </x:c>
      <x:c r="G66" s="68" t="n">
        <x:v>8</x:v>
      </x:c>
      <x:c r="H66" s="68" t="n">
        <x:v>8</x:v>
      </x:c>
      <x:c r="I66" s="68" t="n">
        <x:f>H66-G66</x:f>
        <x:v>0</x:v>
      </x:c>
      <x:c r="J66" s="68" t="n">
        <x:v>24</x:v>
      </x:c>
      <x:c r="K66" s="73" t="n">
        <x:f>MAX(1,VLOOKUP(B66,'Parametri Modello'!$A$4:$H$7,2,FALSE)+VLOOKUP(B66,'Parametri Modello'!$A$4:$H$7,3,FALSE)*J66)</x:f>
        <x:v>7.844866151959016</x:v>
      </x:c>
      <x:c r="L66" s="73" t="n">
        <x:f>F66-K66</x:f>
        <x:v>-2.8448661519590157</x:v>
      </x:c>
      <x:c r="M66" s="75" t="n">
        <x:f>F66/K66</x:f>
        <x:v>0.6373595040562168</x:v>
      </x:c>
      <x:c r="N66" s="75" t="n">
        <x:f>F66/G66</x:f>
        <x:v>0.625</x:v>
      </x:c>
      <x:c r="O66" s="68" t="n">
        <x:v>2</x:v>
      </x:c>
      <x:c r="P66" s="68" t="str">
        <x:v>Difensori</x:v>
      </x:c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>
      <x:c r="A67" s="68" t="n">
        <x:v>6217</x:v>
      </x:c>
      <x:c r="B67" s="68" t="str">
        <x:v>D</x:v>
      </x:c>
      <x:c r="C67" s="68" t="str">
        <x:v>Bisseck</x:v>
      </x:c>
      <x:c r="D67" s="68" t="str">
        <x:v>Inter</x:v>
      </x:c>
      <x:c r="E67" s="68" t="str">
        <x:v>Simo Q</x:v>
      </x:c>
      <x:c r="F67" s="68" t="n">
        <x:v>4</x:v>
      </x:c>
      <x:c r="G67" s="68" t="n">
        <x:v>9</x:v>
      </x:c>
      <x:c r="H67" s="68" t="n">
        <x:v>8</x:v>
      </x:c>
      <x:c r="I67" s="68" t="n">
        <x:f>H67-G67</x:f>
        <x:v>-1</x:v>
      </x:c>
      <x:c r="J67" s="68" t="n">
        <x:v>20</x:v>
      </x:c>
      <x:c r="K67" s="73" t="n">
        <x:f>MAX(1,VLOOKUP(B67,'Parametri Modello'!$A$4:$H$7,2,FALSE)+VLOOKUP(B67,'Parametri Modello'!$A$4:$H$7,3,FALSE)*J67)</x:f>
        <x:v>5.828586194413454</x:v>
      </x:c>
      <x:c r="L67" s="73" t="n">
        <x:f>F67-K67</x:f>
        <x:v>-1.8285861944134538</x:v>
      </x:c>
      <x:c r="M67" s="75" t="n">
        <x:f>F67/K67</x:f>
        <x:v>0.686272771231194</x:v>
      </x:c>
      <x:c r="N67" s="75" t="n">
        <x:f>F67/G67</x:f>
        <x:v>0.4444444444444444</x:v>
      </x:c>
      <x:c r="O67" s="68" t="n">
        <x:v>3</x:v>
      </x:c>
      <x:c r="P67" s="68" t="str">
        <x:v>Difensori</x:v>
      </x:c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>
      <x:c r="A68" s="68" t="n">
        <x:v>6893</x:v>
      </x:c>
      <x:c r="B68" s="68" t="str">
        <x:v>D</x:v>
      </x:c>
      <x:c r="C68" s="68" t="str">
        <x:v>Kempf</x:v>
      </x:c>
      <x:c r="D68" s="68" t="str">
        <x:v>Como</x:v>
      </x:c>
      <x:c r="E68" s="68" t="str">
        <x:v>Andre</x:v>
      </x:c>
      <x:c r="F68" s="68" t="n">
        <x:v>4</x:v>
      </x:c>
      <x:c r="G68" s="68" t="n">
        <x:v>5</x:v>
      </x:c>
      <x:c r="H68" s="68" t="n">
        <x:v>6</x:v>
      </x:c>
      <x:c r="I68" s="68" t="n">
        <x:f>H68-G68</x:f>
        <x:v>1</x:v>
      </x:c>
      <x:c r="J68" s="68" t="n">
        <x:v>15</x:v>
      </x:c>
      <x:c r="K68" s="73" t="n">
        <x:f>MAX(1,VLOOKUP(B68,'Parametri Modello'!$A$4:$H$7,2,FALSE)+VLOOKUP(B68,'Parametri Modello'!$A$4:$H$7,3,FALSE)*J68)</x:f>
        <x:v>3.3082362474815037</x:v>
      </x:c>
      <x:c r="L68" s="73" t="n">
        <x:f>F68-K68</x:f>
        <x:v>0.6917637525184963</x:v>
      </x:c>
      <x:c r="M68" s="75" t="n">
        <x:f>F68/K68</x:f>
        <x:v>1.2091034922445827</x:v>
      </x:c>
      <x:c r="N68" s="75" t="n">
        <x:f>F68/G68</x:f>
        <x:v>0.8</x:v>
      </x:c>
      <x:c r="O68" s="68" t="n">
        <x:v>4</x:v>
      </x:c>
      <x:c r="P68" s="68" t="str">
        <x:v>Difensori</x:v>
      </x:c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>
      <x:c r="A69" s="68" t="n">
        <x:v>6042</x:v>
      </x:c>
      <x:c r="B69" s="68" t="str">
        <x:v>D</x:v>
      </x:c>
      <x:c r="C69" s="68" t="str">
        <x:v>Lucumì</x:v>
      </x:c>
      <x:c r="D69" s="68" t="str">
        <x:v>Bologna</x:v>
      </x:c>
      <x:c r="E69" s="68" t="str">
        <x:v>Cri</x:v>
      </x:c>
      <x:c r="F69" s="68" t="n">
        <x:v>4</x:v>
      </x:c>
      <x:c r="G69" s="68" t="n">
        <x:v>8</x:v>
      </x:c>
      <x:c r="H69" s="68" t="n">
        <x:v>8</x:v>
      </x:c>
      <x:c r="I69" s="68" t="n">
        <x:f>H69-G69</x:f>
        <x:v>0</x:v>
      </x:c>
      <x:c r="J69" s="68" t="n">
        <x:v>21</x:v>
      </x:c>
      <x:c r="K69" s="73" t="n">
        <x:f>MAX(1,VLOOKUP(B69,'Parametri Modello'!$A$4:$H$7,2,FALSE)+VLOOKUP(B69,'Parametri Modello'!$A$4:$H$7,3,FALSE)*J69)</x:f>
        <x:v>6.332656183799845</x:v>
      </x:c>
      <x:c r="L69" s="73" t="n">
        <x:f>F69-K69</x:f>
        <x:v>-2.3326561837998447</x:v>
      </x:c>
      <x:c r="M69" s="75" t="n">
        <x:f>F69/K69</x:f>
        <x:v>0.6316464819664095</x:v>
      </x:c>
      <x:c r="N69" s="75" t="n">
        <x:f>F69/G69</x:f>
        <x:v>0.5</x:v>
      </x:c>
      <x:c r="O69" s="68" t="n">
        <x:v>3</x:v>
      </x:c>
      <x:c r="P69" s="68" t="str">
        <x:v>Difensori</x:v>
      </x:c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>
      <x:c r="A70" s="68" t="n">
        <x:v>2188</x:v>
      </x:c>
      <x:c r="B70" s="68" t="str">
        <x:v>D</x:v>
      </x:c>
      <x:c r="C70" s="68" t="str">
        <x:v>Marusic</x:v>
      </x:c>
      <x:c r="D70" s="68" t="str">
        <x:v>Lazio</x:v>
      </x:c>
      <x:c r="E70" s="68" t="str">
        <x:v>Cri</x:v>
      </x:c>
      <x:c r="F70" s="68" t="n">
        <x:v>4</x:v>
      </x:c>
      <x:c r="G70" s="68" t="n">
        <x:v>8</x:v>
      </x:c>
      <x:c r="H70" s="68" t="n">
        <x:v>8</x:v>
      </x:c>
      <x:c r="I70" s="68" t="n">
        <x:f>H70-G70</x:f>
        <x:v>0</x:v>
      </x:c>
      <x:c r="J70" s="68" t="n">
        <x:v>23</x:v>
      </x:c>
      <x:c r="K70" s="73" t="n">
        <x:f>MAX(1,VLOOKUP(B70,'Parametri Modello'!$A$4:$H$7,2,FALSE)+VLOOKUP(B70,'Parametri Modello'!$A$4:$H$7,3,FALSE)*J70)</x:f>
        <x:v>7.340796162572625</x:v>
      </x:c>
      <x:c r="L70" s="73" t="n">
        <x:f>F70-K70</x:f>
        <x:v>-3.340796162572625</x:v>
      </x:c>
      <x:c r="M70" s="75" t="n">
        <x:f>F70/K70</x:f>
        <x:v>0.5449000232964072</x:v>
      </x:c>
      <x:c r="N70" s="75" t="n">
        <x:f>F70/G70</x:f>
        <x:v>0.5</x:v>
      </x:c>
      <x:c r="O70" s="68" t="n">
        <x:v>2</x:v>
      </x:c>
      <x:c r="P70" s="68" t="str">
        <x:v>Difensori</x:v>
      </x:c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>
      <x:c r="A71" s="68" t="n">
        <x:v>6202</x:v>
      </x:c>
      <x:c r="B71" s="68" t="str">
        <x:v>D</x:v>
      </x:c>
      <x:c r="C71" s="68" t="str">
        <x:v>Beukema</x:v>
      </x:c>
      <x:c r="D71" s="68" t="str">
        <x:v>Napoli</x:v>
      </x:c>
      <x:c r="E71" s="68" t="str">
        <x:v>Alessio</x:v>
      </x:c>
      <x:c r="F71" s="68" t="n">
        <x:v>3</x:v>
      </x:c>
      <x:c r="G71" s="68" t="n">
        <x:v>10</x:v>
      </x:c>
      <x:c r="H71" s="68" t="n">
        <x:v>9</x:v>
      </x:c>
      <x:c r="I71" s="68" t="n">
        <x:f>H71-G71</x:f>
        <x:v>-1</x:v>
      </x:c>
      <x:c r="J71" s="68" t="n">
        <x:v>18</x:v>
      </x:c>
      <x:c r="K71" s="73" t="n">
        <x:f>MAX(1,VLOOKUP(B71,'Parametri Modello'!$A$4:$H$7,2,FALSE)+VLOOKUP(B71,'Parametri Modello'!$A$4:$H$7,3,FALSE)*J71)</x:f>
        <x:v>4.820446215640674</x:v>
      </x:c>
      <x:c r="L71" s="73" t="n">
        <x:f>F71-K71</x:f>
        <x:v>-1.8204462156406738</x:v>
      </x:c>
      <x:c r="M71" s="75" t="n">
        <x:f>F71/K71</x:f>
        <x:v>0.6223490245085698</x:v>
      </x:c>
      <x:c r="N71" s="75" t="n">
        <x:f>F71/G71</x:f>
        <x:v>0.3</x:v>
      </x:c>
      <x:c r="O71" s="68" t="n">
        <x:v>3</x:v>
      </x:c>
      <x:c r="P71" s="68" t="str">
        <x:v>Difensori</x:v>
      </x:c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>
      <x:c r="A72" s="68" t="n">
        <x:v>6495</x:v>
      </x:c>
      <x:c r="B72" s="68" t="str">
        <x:v>D</x:v>
      </x:c>
      <x:c r="C72" s="68" t="str">
        <x:v>Comuzzo</x:v>
      </x:c>
      <x:c r="D72" s="68" t="str">
        <x:v>Fiorentina</x:v>
      </x:c>
      <x:c r="E72" s="68" t="str">
        <x:v>IO</x:v>
      </x:c>
      <x:c r="F72" s="68" t="n">
        <x:v>3</x:v>
      </x:c>
      <x:c r="G72" s="68" t="n">
        <x:v>7</x:v>
      </x:c>
      <x:c r="H72" s="68" t="n">
        <x:v>8</x:v>
      </x:c>
      <x:c r="I72" s="68" t="n">
        <x:f>H72-G72</x:f>
        <x:v>1</x:v>
      </x:c>
      <x:c r="J72" s="68" t="n">
        <x:v>17</x:v>
      </x:c>
      <x:c r="K72" s="73" t="n">
        <x:f>MAX(1,VLOOKUP(B72,'Parametri Modello'!$A$4:$H$7,2,FALSE)+VLOOKUP(B72,'Parametri Modello'!$A$4:$H$7,3,FALSE)*J72)</x:f>
        <x:v>4.316376226254285</x:v>
      </x:c>
      <x:c r="L72" s="73" t="n">
        <x:f>F72-K72</x:f>
        <x:v>-1.3163762262542846</x:v>
      </x:c>
      <x:c r="M72" s="75" t="n">
        <x:f>F72/K72</x:f>
        <x:v>0.6950274588560078</x:v>
      </x:c>
      <x:c r="N72" s="75" t="n">
        <x:f>F72/G72</x:f>
        <x:v>0.42857142857142855</x:v>
      </x:c>
      <x:c r="O72" s="68" t="n">
        <x:v>3</x:v>
      </x:c>
      <x:c r="P72" s="68" t="str">
        <x:v>Difensori</x:v>
      </x:c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>
      <x:c r="A73" s="68" t="n">
        <x:v>6766</x:v>
      </x:c>
      <x:c r="B73" s="68" t="str">
        <x:v>D</x:v>
      </x:c>
      <x:c r="C73" s="68" t="str">
        <x:v>Kelly L.</x:v>
      </x:c>
      <x:c r="D73" s="68" t="str">
        <x:v>Juventus</x:v>
      </x:c>
      <x:c r="E73" s="68" t="str">
        <x:v>Nicola</x:v>
      </x:c>
      <x:c r="F73" s="68" t="n">
        <x:v>3</x:v>
      </x:c>
      <x:c r="G73" s="68" t="n">
        <x:v>7</x:v>
      </x:c>
      <x:c r="H73" s="68" t="n">
        <x:v>7</x:v>
      </x:c>
      <x:c r="I73" s="68" t="n">
        <x:f>H73-G73</x:f>
        <x:v>0</x:v>
      </x:c>
      <x:c r="J73" s="68" t="n">
        <x:v>14</x:v>
      </x:c>
      <x:c r="K73" s="73" t="n">
        <x:f>MAX(1,VLOOKUP(B73,'Parametri Modello'!$A$4:$H$7,2,FALSE)+VLOOKUP(B73,'Parametri Modello'!$A$4:$H$7,3,FALSE)*J73)</x:f>
        <x:v>2.8041662580951137</x:v>
      </x:c>
      <x:c r="L73" s="73" t="n">
        <x:f>F73-K73</x:f>
        <x:v>0.19583374190488634</x:v>
      </x:c>
      <x:c r="M73" s="75" t="n">
        <x:f>F73/K73</x:f>
        <x:v>1.0698367086257994</x:v>
      </x:c>
      <x:c r="N73" s="75" t="n">
        <x:f>F73/G73</x:f>
        <x:v>0.42857142857142855</x:v>
      </x:c>
      <x:c r="O73" s="68" t="n">
        <x:v>4</x:v>
      </x:c>
      <x:c r="P73" s="68" t="str">
        <x:v>Difensori</x:v>
      </x:c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>
      <x:c r="A74" s="68" t="n">
        <x:v>5022</x:v>
      </x:c>
      <x:c r="B74" s="68" t="str">
        <x:v>D</x:v>
      </x:c>
      <x:c r="C74" s="68" t="str">
        <x:v>Pavlovic</x:v>
      </x:c>
      <x:c r="D74" s="68" t="str">
        <x:v>Milan</x:v>
      </x:c>
      <x:c r="E74" s="68" t="str">
        <x:v>IO</x:v>
      </x:c>
      <x:c r="F74" s="68" t="n">
        <x:v>3</x:v>
      </x:c>
      <x:c r="G74" s="68" t="n">
        <x:v>7</x:v>
      </x:c>
      <x:c r="H74" s="68" t="n">
        <x:v>9</x:v>
      </x:c>
      <x:c r="I74" s="68" t="n">
        <x:f>H74-G74</x:f>
        <x:v>2</x:v>
      </x:c>
      <x:c r="J74" s="68" t="n">
        <x:v>21</x:v>
      </x:c>
      <x:c r="K74" s="73" t="n">
        <x:f>MAX(1,VLOOKUP(B74,'Parametri Modello'!$A$4:$H$7,2,FALSE)+VLOOKUP(B74,'Parametri Modello'!$A$4:$H$7,3,FALSE)*J74)</x:f>
        <x:v>6.332656183799845</x:v>
      </x:c>
      <x:c r="L74" s="73" t="n">
        <x:f>F74-K74</x:f>
        <x:v>-3.3326561837998447</x:v>
      </x:c>
      <x:c r="M74" s="75" t="n">
        <x:f>F74/K74</x:f>
        <x:v>0.4737348614748071</x:v>
      </x:c>
      <x:c r="N74" s="75" t="n">
        <x:f>F74/G74</x:f>
        <x:v>0.42857142857142855</x:v>
      </x:c>
      <x:c r="O74" s="68" t="n">
        <x:v>3</x:v>
      </x:c>
      <x:c r="P74" s="68" t="str">
        <x:v>Difensori</x:v>
      </x:c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>
      <x:c r="A75" s="68" t="n">
        <x:v>6664</x:v>
      </x:c>
      <x:c r="B75" s="68" t="str">
        <x:v>D</x:v>
      </x:c>
      <x:c r="C75" s="68" t="str">
        <x:v>Delprato</x:v>
      </x:c>
      <x:c r="D75" s="68" t="str">
        <x:v>Parma</x:v>
      </x:c>
      <x:c r="E75" s="68" t="str">
        <x:v>Alessio</x:v>
      </x:c>
      <x:c r="F75" s="68" t="n">
        <x:v>2</x:v>
      </x:c>
      <x:c r="G75" s="68" t="n">
        <x:v>8</x:v>
      </x:c>
      <x:c r="H75" s="68" t="n">
        <x:v>9</x:v>
      </x:c>
      <x:c r="I75" s="68" t="n">
        <x:f>H75-G75</x:f>
        <x:v>1</x:v>
      </x:c>
      <x:c r="J75" s="68" t="n">
        <x:v>21</x:v>
      </x:c>
      <x:c r="K75" s="73" t="n">
        <x:f>MAX(1,VLOOKUP(B75,'Parametri Modello'!$A$4:$H$7,2,FALSE)+VLOOKUP(B75,'Parametri Modello'!$A$4:$H$7,3,FALSE)*J75)</x:f>
        <x:v>6.332656183799845</x:v>
      </x:c>
      <x:c r="L75" s="73" t="n">
        <x:f>F75-K75</x:f>
        <x:v>-4.332656183799845</x:v>
      </x:c>
      <x:c r="M75" s="75" t="n">
        <x:f>F75/K75</x:f>
        <x:v>0.31582324098320474</x:v>
      </x:c>
      <x:c r="N75" s="75" t="n">
        <x:f>F75/G75</x:f>
        <x:v>0.25</x:v>
      </x:c>
      <x:c r="O75" s="68" t="n">
        <x:v>3</x:v>
      </x:c>
      <x:c r="P75" s="68" t="str">
        <x:v>Difensori</x:v>
      </x:c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>
      <x:c r="A76" s="68" t="n">
        <x:v>4994</x:v>
      </x:c>
      <x:c r="B76" s="68" t="str">
        <x:v>D</x:v>
      </x:c>
      <x:c r="C76" s="68" t="str">
        <x:v>Vojvoda</x:v>
      </x:c>
      <x:c r="D76" s="68" t="str">
        <x:v>Como</x:v>
      </x:c>
      <x:c r="E76" s="68" t="str">
        <x:v>Alessio</x:v>
      </x:c>
      <x:c r="F76" s="68" t="n">
        <x:v>2</x:v>
      </x:c>
      <x:c r="G76" s="68" t="n">
        <x:v>6</x:v>
      </x:c>
      <x:c r="H76" s="68" t="n">
        <x:v>7</x:v>
      </x:c>
      <x:c r="I76" s="68" t="n">
        <x:f>H76-G76</x:f>
        <x:v>1</x:v>
      </x:c>
      <x:c r="J76" s="68" t="n">
        <x:v>13</x:v>
      </x:c>
      <x:c r="K76" s="73" t="n">
        <x:f>MAX(1,VLOOKUP(B76,'Parametri Modello'!$A$4:$H$7,2,FALSE)+VLOOKUP(B76,'Parametri Modello'!$A$4:$H$7,3,FALSE)*J76)</x:f>
        <x:v>2.3000962687087227</x:v>
      </x:c>
      <x:c r="L76" s="73" t="n">
        <x:f>F76-K76</x:f>
        <x:v>-0.30009626870872275</x:v>
      </x:c>
      <x:c r="M76" s="75" t="n">
        <x:f>F76/K76</x:f>
        <x:v>0.8695288224274207</x:v>
      </x:c>
      <x:c r="N76" s="75" t="n">
        <x:f>F76/G76</x:f>
        <x:v>0.3333333333333333</x:v>
      </x:c>
      <x:c r="O76" s="68" t="n">
        <x:v>4</x:v>
      </x:c>
      <x:c r="P76" s="68" t="str">
        <x:v>Difensori</x:v>
      </x:c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>
      <x:c r="A77" s="68" t="n">
        <x:v>7143</x:v>
      </x:c>
      <x:c r="B77" s="68" t="str">
        <x:v>D</x:v>
      </x:c>
      <x:c r="C77" s="68" t="str">
        <x:v>Angori</x:v>
      </x:c>
      <x:c r="D77" s="68" t="str">
        <x:v>Pisa</x:v>
      </x:c>
      <x:c r="E77" s="68" t="str">
        <x:v>Simo Q</x:v>
      </x:c>
      <x:c r="F77" s="68" t="n">
        <x:v>1</x:v>
      </x:c>
      <x:c r="G77" s="68" t="n">
        <x:v>5</x:v>
      </x:c>
      <x:c r="H77" s="68" t="n">
        <x:v>6</x:v>
      </x:c>
      <x:c r="I77" s="68" t="n">
        <x:f>H77-G77</x:f>
        <x:v>1</x:v>
      </x:c>
      <x:c r="J77" s="68" t="n">
        <x:v>17</x:v>
      </x:c>
      <x:c r="K77" s="73" t="n">
        <x:f>MAX(1,VLOOKUP(B77,'Parametri Modello'!$A$4:$H$7,2,FALSE)+VLOOKUP(B77,'Parametri Modello'!$A$4:$H$7,3,FALSE)*J77)</x:f>
        <x:v>4.316376226254285</x:v>
      </x:c>
      <x:c r="L77" s="73" t="n">
        <x:f>F77-K77</x:f>
        <x:v>-3.3163762262542846</x:v>
      </x:c>
      <x:c r="M77" s="75" t="n">
        <x:f>F77/K77</x:f>
        <x:v>0.23167581961866926</x:v>
      </x:c>
      <x:c r="N77" s="75" t="n">
        <x:f>F77/G77</x:f>
        <x:v>0.2</x:v>
      </x:c>
      <x:c r="O77" s="68" t="n">
        <x:v>3</x:v>
      </x:c>
      <x:c r="P77" s="68" t="str">
        <x:v>Difensori</x:v>
      </x:c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>
      <x:c r="A78" s="68" t="n">
        <x:v>252</x:v>
      </x:c>
      <x:c r="B78" s="68" t="str">
        <x:v>D</x:v>
      </x:c>
      <x:c r="C78" s="68" t="str">
        <x:v>Biraghi</x:v>
      </x:c>
      <x:c r="D78" s="68" t="str">
        <x:v>Torino</x:v>
      </x:c>
      <x:c r="E78" s="68" t="str">
        <x:v>Cri</x:v>
      </x:c>
      <x:c r="F78" s="68" t="n">
        <x:v>1</x:v>
      </x:c>
      <x:c r="G78" s="68" t="n">
        <x:v>8</x:v>
      </x:c>
      <x:c r="H78" s="68" t="n">
        <x:v>8</x:v>
      </x:c>
      <x:c r="I78" s="68" t="n">
        <x:f>H78-G78</x:f>
        <x:v>0</x:v>
      </x:c>
      <x:c r="J78" s="68" t="n">
        <x:v>23</x:v>
      </x:c>
      <x:c r="K78" s="73" t="n">
        <x:f>MAX(1,VLOOKUP(B78,'Parametri Modello'!$A$4:$H$7,2,FALSE)+VLOOKUP(B78,'Parametri Modello'!$A$4:$H$7,3,FALSE)*J78)</x:f>
        <x:v>7.340796162572625</x:v>
      </x:c>
      <x:c r="L78" s="73" t="n">
        <x:f>F78-K78</x:f>
        <x:v>-6.340796162572625</x:v>
      </x:c>
      <x:c r="M78" s="75" t="n">
        <x:f>F78/K78</x:f>
        <x:v>0.1362250058241018</x:v>
      </x:c>
      <x:c r="N78" s="75" t="n">
        <x:f>F78/G78</x:f>
        <x:v>0.125</x:v>
      </x:c>
      <x:c r="O78" s="68" t="n">
        <x:v>2</x:v>
      </x:c>
      <x:c r="P78" s="68" t="str">
        <x:v>Difensori</x:v>
      </x:c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>
      <x:c r="A79" s="68" t="n">
        <x:v>5739</x:v>
      </x:c>
      <x:c r="B79" s="68" t="str">
        <x:v>D</x:v>
      </x:c>
      <x:c r="C79" s="68" t="str">
        <x:v>De Winter</x:v>
      </x:c>
      <x:c r="D79" s="68" t="str">
        <x:v>Milan</x:v>
      </x:c>
      <x:c r="E79" s="68" t="str">
        <x:v>Marco</x:v>
      </x:c>
      <x:c r="F79" s="68" t="n">
        <x:v>1</x:v>
      </x:c>
      <x:c r="G79" s="68" t="n">
        <x:v>8</x:v>
      </x:c>
      <x:c r="H79" s="68" t="n">
        <x:v>7</x:v>
      </x:c>
      <x:c r="I79" s="68" t="n">
        <x:f>H79-G79</x:f>
        <x:v>-1</x:v>
      </x:c>
      <x:c r="J79" s="68" t="n">
        <x:v>17</x:v>
      </x:c>
      <x:c r="K79" s="73" t="n">
        <x:f>MAX(1,VLOOKUP(B79,'Parametri Modello'!$A$4:$H$7,2,FALSE)+VLOOKUP(B79,'Parametri Modello'!$A$4:$H$7,3,FALSE)*J79)</x:f>
        <x:v>4.316376226254285</x:v>
      </x:c>
      <x:c r="L79" s="73" t="n">
        <x:f>F79-K79</x:f>
        <x:v>-3.3163762262542846</x:v>
      </x:c>
      <x:c r="M79" s="75" t="n">
        <x:f>F79/K79</x:f>
        <x:v>0.23167581961866926</x:v>
      </x:c>
      <x:c r="N79" s="75" t="n">
        <x:f>F79/G79</x:f>
        <x:v>0.125</x:v>
      </x:c>
      <x:c r="O79" s="68" t="n">
        <x:v>4</x:v>
      </x:c>
      <x:c r="P79" s="68" t="str">
        <x:v>Difensori</x:v>
      </x:c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>
      <x:c r="A80" s="68" t="n">
        <x:v>787</x:v>
      </x:c>
      <x:c r="B80" s="68" t="str">
        <x:v>D</x:v>
      </x:c>
      <x:c r="C80" s="68" t="str">
        <x:v>Djimsiti</x:v>
      </x:c>
      <x:c r="D80" s="68" t="str">
        <x:v>Atalanta</x:v>
      </x:c>
      <x:c r="E80" s="68" t="str">
        <x:v>IO</x:v>
      </x:c>
      <x:c r="F80" s="68" t="n">
        <x:v>1</x:v>
      </x:c>
      <x:c r="G80" s="68" t="n">
        <x:v>8</x:v>
      </x:c>
      <x:c r="H80" s="68" t="n">
        <x:v>8</x:v>
      </x:c>
      <x:c r="I80" s="68" t="n">
        <x:f>H80-G80</x:f>
        <x:v>0</x:v>
      </x:c>
      <x:c r="J80" s="68" t="n">
        <x:v>15</x:v>
      </x:c>
      <x:c r="K80" s="73" t="n">
        <x:f>MAX(1,VLOOKUP(B80,'Parametri Modello'!$A$4:$H$7,2,FALSE)+VLOOKUP(B80,'Parametri Modello'!$A$4:$H$7,3,FALSE)*J80)</x:f>
        <x:v>3.3082362474815037</x:v>
      </x:c>
      <x:c r="L80" s="73" t="n">
        <x:f>F80-K80</x:f>
        <x:v>-2.3082362474815037</x:v>
      </x:c>
      <x:c r="M80" s="75" t="n">
        <x:f>F80/K80</x:f>
        <x:v>0.3022758730611457</x:v>
      </x:c>
      <x:c r="N80" s="75" t="n">
        <x:f>F80/G80</x:f>
        <x:v>0.125</x:v>
      </x:c>
      <x:c r="O80" s="68" t="n">
        <x:v>4</x:v>
      </x:c>
      <x:c r="P80" s="68" t="str">
        <x:v>Difensori</x:v>
      </x:c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>
      <x:c r="A81" s="68" t="n">
        <x:v>5851</x:v>
      </x:c>
      <x:c r="B81" s="68" t="str">
        <x:v>D</x:v>
      </x:c>
      <x:c r="C81" s="68" t="str">
        <x:v>Doig</x:v>
      </x:c>
      <x:c r="D81" s="68" t="str">
        <x:v>Sassuolo</x:v>
      </x:c>
      <x:c r="E81" s="68" t="str">
        <x:v>Simo Q</x:v>
      </x:c>
      <x:c r="F81" s="68" t="n">
        <x:v>1</x:v>
      </x:c>
      <x:c r="G81" s="68" t="n">
        <x:v>6</x:v>
      </x:c>
      <x:c r="H81" s="68" t="n">
        <x:v>6</x:v>
      </x:c>
      <x:c r="I81" s="68" t="n">
        <x:f>H81-G81</x:f>
        <x:v>0</x:v>
      </x:c>
      <x:c r="J81" s="68" t="n">
        <x:v>17</x:v>
      </x:c>
      <x:c r="K81" s="73" t="n">
        <x:f>MAX(1,VLOOKUP(B81,'Parametri Modello'!$A$4:$H$7,2,FALSE)+VLOOKUP(B81,'Parametri Modello'!$A$4:$H$7,3,FALSE)*J81)</x:f>
        <x:v>4.316376226254285</x:v>
      </x:c>
      <x:c r="L81" s="73" t="n">
        <x:f>F81-K81</x:f>
        <x:v>-3.3163762262542846</x:v>
      </x:c>
      <x:c r="M81" s="75" t="n">
        <x:f>F81/K81</x:f>
        <x:v>0.23167581961866926</x:v>
      </x:c>
      <x:c r="N81" s="75" t="n">
        <x:f>F81/G81</x:f>
        <x:v>0.16666666666666666</x:v>
      </x:c>
      <x:c r="O81" s="68" t="n">
        <x:v>4</x:v>
      </x:c>
      <x:c r="P81" s="68" t="str">
        <x:v>Difensori</x:v>
      </x:c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>
      <x:c r="A82" s="68" t="n">
        <x:v>6047</x:v>
      </x:c>
      <x:c r="B82" s="68" t="str">
        <x:v>D</x:v>
      </x:c>
      <x:c r="C82" s="68" t="str">
        <x:v>Ehizibue</x:v>
      </x:c>
      <x:c r="D82" s="68" t="str">
        <x:v>Udinese</x:v>
      </x:c>
      <x:c r="E82" s="68" t="str">
        <x:v>Marco</x:v>
      </x:c>
      <x:c r="F82" s="68" t="n">
        <x:v>1</x:v>
      </x:c>
      <x:c r="G82" s="68" t="n">
        <x:v>5</x:v>
      </x:c>
      <x:c r="H82" s="68" t="n">
        <x:v>5</x:v>
      </x:c>
      <x:c r="I82" s="68" t="n">
        <x:f>H82-G82</x:f>
        <x:v>0</x:v>
      </x:c>
      <x:c r="J82" s="68" t="n">
        <x:v>15</x:v>
      </x:c>
      <x:c r="K82" s="73" t="n">
        <x:f>MAX(1,VLOOKUP(B82,'Parametri Modello'!$A$4:$H$7,2,FALSE)+VLOOKUP(B82,'Parametri Modello'!$A$4:$H$7,3,FALSE)*J82)</x:f>
        <x:v>3.3082362474815037</x:v>
      </x:c>
      <x:c r="L82" s="73" t="n">
        <x:f>F82-K82</x:f>
        <x:v>-2.3082362474815037</x:v>
      </x:c>
      <x:c r="M82" s="75" t="n">
        <x:f>F82/K82</x:f>
        <x:v>0.3022758730611457</x:v>
      </x:c>
      <x:c r="N82" s="75" t="n">
        <x:f>F82/G82</x:f>
        <x:v>0.2</x:v>
      </x:c>
      <x:c r="O82" s="68" t="n">
        <x:v>4</x:v>
      </x:c>
      <x:c r="P82" s="68" t="str">
        <x:v>Difensori</x:v>
      </x:c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>
      <x:c r="A83" s="68" t="n">
        <x:v>5831</x:v>
      </x:c>
      <x:c r="B83" s="68" t="str">
        <x:v>D</x:v>
      </x:c>
      <x:c r="C83" s="68" t="str">
        <x:v>Gatti</x:v>
      </x:c>
      <x:c r="D83" s="68" t="str">
        <x:v>Juventus</x:v>
      </x:c>
      <x:c r="E83" s="68" t="str">
        <x:v>Simo Q</x:v>
      </x:c>
      <x:c r="F83" s="68" t="n">
        <x:v>1</x:v>
      </x:c>
      <x:c r="G83" s="68" t="n">
        <x:v>8</x:v>
      </x:c>
      <x:c r="H83" s="68" t="n">
        <x:v>8</x:v>
      </x:c>
      <x:c r="I83" s="68" t="n">
        <x:f>H83-G83</x:f>
        <x:v>0</x:v>
      </x:c>
      <x:c r="J83" s="68" t="n">
        <x:v>13</x:v>
      </x:c>
      <x:c r="K83" s="73" t="n">
        <x:f>MAX(1,VLOOKUP(B83,'Parametri Modello'!$A$4:$H$7,2,FALSE)+VLOOKUP(B83,'Parametri Modello'!$A$4:$H$7,3,FALSE)*J83)</x:f>
        <x:v>2.3000962687087227</x:v>
      </x:c>
      <x:c r="L83" s="73" t="n">
        <x:f>F83-K83</x:f>
        <x:v>-1.3000962687087227</x:v>
      </x:c>
      <x:c r="M83" s="75" t="n">
        <x:f>F83/K83</x:f>
        <x:v>0.43476441121371034</x:v>
      </x:c>
      <x:c r="N83" s="75" t="n">
        <x:f>F83/G83</x:f>
        <x:v>0.125</x:v>
      </x:c>
      <x:c r="O83" s="68" t="n">
        <x:v>4</x:v>
      </x:c>
      <x:c r="P83" s="68" t="str">
        <x:v>Difensori</x:v>
      </x:c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>
      <x:c r="A84" s="68" t="n">
        <x:v>6965</x:v>
      </x:c>
      <x:c r="B84" s="68" t="str">
        <x:v>D</x:v>
      </x:c>
      <x:c r="C84" s="68" t="str">
        <x:v>Lovik</x:v>
      </x:c>
      <x:c r="D84" s="68" t="str">
        <x:v>Parma</x:v>
      </x:c>
      <x:c r="E84" s="68" t="str">
        <x:v>Marco</x:v>
      </x:c>
      <x:c r="F84" s="68" t="n">
        <x:v>1</x:v>
      </x:c>
      <x:c r="G84" s="68" t="n">
        <x:v>2</x:v>
      </x:c>
      <x:c r="H84" s="68" t="n">
        <x:v>3</x:v>
      </x:c>
      <x:c r="I84" s="68" t="n">
        <x:f>H84-G84</x:f>
        <x:v>1</x:v>
      </x:c>
      <x:c r="J84" s="68" t="n">
        <x:v>11</x:v>
      </x:c>
      <x:c r="K84" s="73" t="n">
        <x:f>MAX(1,VLOOKUP(B84,'Parametri Modello'!$A$4:$H$7,2,FALSE)+VLOOKUP(B84,'Parametri Modello'!$A$4:$H$7,3,FALSE)*J84)</x:f>
        <x:v>1.2919562899359427</x:v>
      </x:c>
      <x:c r="L84" s="73" t="n">
        <x:f>F84-K84</x:f>
        <x:v>-0.2919562899359427</x:v>
      </x:c>
      <x:c r="M84" s="75" t="n">
        <x:f>F84/K84</x:f>
        <x:v>0.7740199941668163</x:v>
      </x:c>
      <x:c r="N84" s="75" t="n">
        <x:f>F84/G84</x:f>
        <x:v>0.5</x:v>
      </x:c>
      <x:c r="O84" s="68" t="n">
        <x:v>4</x:v>
      </x:c>
      <x:c r="P84" s="68" t="str">
        <x:v>Difensori</x:v>
      </x:c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>
      <x:c r="A85" s="68" t="n">
        <x:v>393</x:v>
      </x:c>
      <x:c r="B85" s="68" t="str">
        <x:v>D</x:v>
      </x:c>
      <x:c r="C85" s="68" t="str">
        <x:v>Luperto</x:v>
      </x:c>
      <x:c r="D85" s="68" t="str">
        <x:v>Cagliari</x:v>
      </x:c>
      <x:c r="E85" s="68" t="str">
        <x:v>Marco</x:v>
      </x:c>
      <x:c r="F85" s="68" t="n">
        <x:v>1</x:v>
      </x:c>
      <x:c r="G85" s="68" t="n">
        <x:v>7</x:v>
      </x:c>
      <x:c r="H85" s="68" t="n">
        <x:v>9</x:v>
      </x:c>
      <x:c r="I85" s="68" t="n">
        <x:f>H85-G85</x:f>
        <x:v>2</x:v>
      </x:c>
      <x:c r="J85" s="68" t="n">
        <x:v>18</x:v>
      </x:c>
      <x:c r="K85" s="73" t="n">
        <x:f>MAX(1,VLOOKUP(B85,'Parametri Modello'!$A$4:$H$7,2,FALSE)+VLOOKUP(B85,'Parametri Modello'!$A$4:$H$7,3,FALSE)*J85)</x:f>
        <x:v>4.820446215640674</x:v>
      </x:c>
      <x:c r="L85" s="73" t="n">
        <x:f>F85-K85</x:f>
        <x:v>-3.8204462156406738</x:v>
      </x:c>
      <x:c r="M85" s="75" t="n">
        <x:f>F85/K85</x:f>
        <x:v>0.20744967483618992</x:v>
      </x:c>
      <x:c r="N85" s="75" t="n">
        <x:f>F85/G85</x:f>
        <x:v>0.14285714285714285</x:v>
      </x:c>
      <x:c r="O85" s="68" t="n">
        <x:v>3</x:v>
      </x:c>
      <x:c r="P85" s="68" t="str">
        <x:v>Difensori</x:v>
      </x:c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>
      <x:c r="A86" s="68" t="n">
        <x:v>4210</x:v>
      </x:c>
      <x:c r="B86" s="68" t="str">
        <x:v>D</x:v>
      </x:c>
      <x:c r="C86" s="68" t="str">
        <x:v>Mina</x:v>
      </x:c>
      <x:c r="D86" s="68" t="str">
        <x:v>Cagliari</x:v>
      </x:c>
      <x:c r="E86" s="68" t="str">
        <x:v>Alessio</x:v>
      </x:c>
      <x:c r="F86" s="68" t="n">
        <x:v>1</x:v>
      </x:c>
      <x:c r="G86" s="68" t="n">
        <x:v>7</x:v>
      </x:c>
      <x:c r="H86" s="68" t="n">
        <x:v>7</x:v>
      </x:c>
      <x:c r="I86" s="68" t="n">
        <x:f>H86-G86</x:f>
        <x:v>0</x:v>
      </x:c>
      <x:c r="J86" s="68" t="n">
        <x:v>21</x:v>
      </x:c>
      <x:c r="K86" s="73" t="n">
        <x:f>MAX(1,VLOOKUP(B86,'Parametri Modello'!$A$4:$H$7,2,FALSE)+VLOOKUP(B86,'Parametri Modello'!$A$4:$H$7,3,FALSE)*J86)</x:f>
        <x:v>6.332656183799845</x:v>
      </x:c>
      <x:c r="L86" s="73" t="n">
        <x:f>F86-K86</x:f>
        <x:v>-5.332656183799845</x:v>
      </x:c>
      <x:c r="M86" s="75" t="n">
        <x:f>F86/K86</x:f>
        <x:v>0.15791162049160237</x:v>
      </x:c>
      <x:c r="N86" s="75" t="n">
        <x:f>F86/G86</x:f>
        <x:v>0.14285714285714285</x:v>
      </x:c>
      <x:c r="O86" s="68" t="n">
        <x:v>3</x:v>
      </x:c>
      <x:c r="P86" s="68" t="str">
        <x:v>Difensori</x:v>
      </x:c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>
      <x:c r="A87" s="68" t="n">
        <x:v>770</x:v>
      </x:c>
      <x:c r="B87" s="68" t="str">
        <x:v>D</x:v>
      </x:c>
      <x:c r="C87" s="68" t="str">
        <x:v>Pezzella Giu.</x:v>
      </x:c>
      <x:c r="D87" s="68" t="str">
        <x:v>Cremonese</x:v>
      </x:c>
      <x:c r="E87" s="68" t="str">
        <x:v>Marco</x:v>
      </x:c>
      <x:c r="F87" s="68" t="n">
        <x:v>1</x:v>
      </x:c>
      <x:c r="G87" s="68" t="n">
        <x:v>5</x:v>
      </x:c>
      <x:c r="H87" s="68" t="n">
        <x:v>6</x:v>
      </x:c>
      <x:c r="I87" s="68" t="n">
        <x:f>H87-G87</x:f>
        <x:v>1</x:v>
      </x:c>
      <x:c r="J87" s="68" t="n">
        <x:v>13</x:v>
      </x:c>
      <x:c r="K87" s="73" t="n">
        <x:f>MAX(1,VLOOKUP(B87,'Parametri Modello'!$A$4:$H$7,2,FALSE)+VLOOKUP(B87,'Parametri Modello'!$A$4:$H$7,3,FALSE)*J87)</x:f>
        <x:v>2.3000962687087227</x:v>
      </x:c>
      <x:c r="L87" s="73" t="n">
        <x:f>F87-K87</x:f>
        <x:v>-1.3000962687087227</x:v>
      </x:c>
      <x:c r="M87" s="75" t="n">
        <x:f>F87/K87</x:f>
        <x:v>0.43476441121371034</x:v>
      </x:c>
      <x:c r="N87" s="75" t="n">
        <x:f>F87/G87</x:f>
        <x:v>0.2</x:v>
      </x:c>
      <x:c r="O87" s="68" t="n">
        <x:v>4</x:v>
      </x:c>
      <x:c r="P87" s="68" t="str">
        <x:v>Difensori</x:v>
      </x:c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>
      <x:c r="A88" s="68" t="n">
        <x:v>460</x:v>
      </x:c>
      <x:c r="B88" s="68" t="str">
        <x:v>D</x:v>
      </x:c>
      <x:c r="C88" s="68" t="str">
        <x:v>Romagnoli</x:v>
      </x:c>
      <x:c r="D88" s="68" t="str">
        <x:v>Lazio</x:v>
      </x:c>
      <x:c r="E88" s="68" t="str">
        <x:v>Marco</x:v>
      </x:c>
      <x:c r="F88" s="68" t="n">
        <x:v>1</x:v>
      </x:c>
      <x:c r="G88" s="68" t="n">
        <x:v>8</x:v>
      </x:c>
      <x:c r="H88" s="68" t="n">
        <x:v>7</x:v>
      </x:c>
      <x:c r="I88" s="68" t="n">
        <x:f>H88-G88</x:f>
        <x:v>-1</x:v>
      </x:c>
      <x:c r="J88" s="68" t="n">
        <x:v>22</x:v>
      </x:c>
      <x:c r="K88" s="73" t="n">
        <x:f>MAX(1,VLOOKUP(B88,'Parametri Modello'!$A$4:$H$7,2,FALSE)+VLOOKUP(B88,'Parametri Modello'!$A$4:$H$7,3,FALSE)*J88)</x:f>
        <x:v>6.836726173186236</x:v>
      </x:c>
      <x:c r="L88" s="73" t="n">
        <x:f>F88-K88</x:f>
        <x:v>-5.836726173186236</x:v>
      </x:c>
      <x:c r="M88" s="75" t="n">
        <x:f>F88/K88</x:f>
        <x:v>0.14626883901274534</x:v>
      </x:c>
      <x:c r="N88" s="75" t="n">
        <x:f>F88/G88</x:f>
        <x:v>0.125</x:v>
      </x:c>
      <x:c r="O88" s="68" t="n">
        <x:v>2</x:v>
      </x:c>
      <x:c r="P88" s="68" t="str">
        <x:v>Difensori</x:v>
      </x:c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>
      <x:c r="A89" s="68" t="n">
        <x:v>5168</x:v>
      </x:c>
      <x:c r="B89" s="68" t="str">
        <x:v>D</x:v>
      </x:c>
      <x:c r="C89" s="68" t="str">
        <x:v>Tsimikas</x:v>
      </x:c>
      <x:c r="D89" s="68" t="str">
        <x:v>Roma</x:v>
      </x:c>
      <x:c r="E89" s="68" t="str">
        <x:v>Andre</x:v>
      </x:c>
      <x:c r="F89" s="68" t="n">
        <x:v>1</x:v>
      </x:c>
      <x:c r="G89" s="68" t="n">
        <x:v>4</x:v>
      </x:c>
      <x:c r="H89" s="68" t="n">
        <x:v>4</x:v>
      </x:c>
      <x:c r="I89" s="68" t="n">
        <x:f>H89-G89</x:f>
        <x:v>0</x:v>
      </x:c>
      <x:c r="J89" s="68" t="n">
        <x:v>8</x:v>
      </x:c>
      <x:c r="K89" s="73" t="n">
        <x:f>MAX(1,VLOOKUP(B89,'Parametri Modello'!$A$4:$H$7,2,FALSE)+VLOOKUP(B89,'Parametri Modello'!$A$4:$H$7,3,FALSE)*J89)</x:f>
        <x:v>1</x:v>
      </x:c>
      <x:c r="L89" s="73" t="n">
        <x:f>F89-K89</x:f>
        <x:v>0</x:v>
      </x:c>
      <x:c r="M89" s="75" t="n">
        <x:f>F89/K89</x:f>
        <x:v>1</x:v>
      </x:c>
      <x:c r="N89" s="75" t="n">
        <x:f>F89/G89</x:f>
        <x:v>0.25</x:v>
      </x:c>
      <x:c r="O89" s="68" t="n">
        <x:v>4</x:v>
      </x:c>
      <x:c r="P89" s="68" t="str">
        <x:v>Difensori</x:v>
      </x:c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>
      <x:c r="A90" s="68" t="n">
        <x:v>6867</x:v>
      </x:c>
      <x:c r="B90" s="68" t="str">
        <x:v>D</x:v>
      </x:c>
      <x:c r="C90" s="68" t="str">
        <x:v>Valle</x:v>
      </x:c>
      <x:c r="D90" s="68" t="str">
        <x:v>Como</x:v>
      </x:c>
      <x:c r="E90" s="68" t="str">
        <x:v>Nicola</x:v>
      </x:c>
      <x:c r="F90" s="68" t="n">
        <x:v>1</x:v>
      </x:c>
      <x:c r="G90" s="68" t="n">
        <x:v>6</x:v>
      </x:c>
      <x:c r="H90" s="68" t="n">
        <x:v>6</x:v>
      </x:c>
      <x:c r="I90" s="68" t="n">
        <x:f>H90-G90</x:f>
        <x:v>0</x:v>
      </x:c>
      <x:c r="J90" s="68" t="n">
        <x:v>13</x:v>
      </x:c>
      <x:c r="K90" s="73" t="n">
        <x:f>MAX(1,VLOOKUP(B90,'Parametri Modello'!$A$4:$H$7,2,FALSE)+VLOOKUP(B90,'Parametri Modello'!$A$4:$H$7,3,FALSE)*J90)</x:f>
        <x:v>2.3000962687087227</x:v>
      </x:c>
      <x:c r="L90" s="73" t="n">
        <x:f>F90-K90</x:f>
        <x:v>-1.3000962687087227</x:v>
      </x:c>
      <x:c r="M90" s="75" t="n">
        <x:f>F90/K90</x:f>
        <x:v>0.43476441121371034</x:v>
      </x:c>
      <x:c r="N90" s="75" t="n">
        <x:f>F90/G90</x:f>
        <x:v>0.16666666666666666</x:v>
      </x:c>
      <x:c r="O90" s="68" t="n">
        <x:v>4</x:v>
      </x:c>
      <x:c r="P90" s="68" t="str">
        <x:v>Difensori</x:v>
      </x:c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>
      <x:c r="A91" s="68" t="n">
        <x:v>6211</x:v>
      </x:c>
      <x:c r="B91" s="68" t="str">
        <x:v>D</x:v>
      </x:c>
      <x:c r="C91" s="68" t="str">
        <x:v>Zemura</x:v>
      </x:c>
      <x:c r="D91" s="68" t="str">
        <x:v>Udinese</x:v>
      </x:c>
      <x:c r="E91" s="68" t="str">
        <x:v>Andre</x:v>
      </x:c>
      <x:c r="F91" s="68" t="n">
        <x:v>1</x:v>
      </x:c>
      <x:c r="G91" s="68" t="n">
        <x:v>3</x:v>
      </x:c>
      <x:c r="H91" s="68" t="n">
        <x:v>4</x:v>
      </x:c>
      <x:c r="I91" s="68" t="n">
        <x:f>H91-G91</x:f>
        <x:v>1</x:v>
      </x:c>
      <x:c r="J91" s="68" t="n">
        <x:v>8</x:v>
      </x:c>
      <x:c r="K91" s="73" t="n">
        <x:f>MAX(1,VLOOKUP(B91,'Parametri Modello'!$A$4:$H$7,2,FALSE)+VLOOKUP(B91,'Parametri Modello'!$A$4:$H$7,3,FALSE)*J91)</x:f>
        <x:v>1</x:v>
      </x:c>
      <x:c r="L91" s="73" t="n">
        <x:f>F91-K91</x:f>
        <x:v>0</x:v>
      </x:c>
      <x:c r="M91" s="75" t="n">
        <x:f>F91/K91</x:f>
        <x:v>1</x:v>
      </x:c>
      <x:c r="N91" s="75" t="n">
        <x:f>F91/G91</x:f>
        <x:v>0.3333333333333333</x:v>
      </x:c>
      <x:c r="O91" s="68" t="n">
        <x:v>4</x:v>
      </x:c>
      <x:c r="P91" s="68" t="str">
        <x:v>Difensori</x:v>
      </x:c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>
      <x:c r="A92" s="68" t="n">
        <x:v>2167</x:v>
      </x:c>
      <x:c r="B92" s="68" t="str">
        <x:v>C</x:v>
      </x:c>
      <x:c r="C92" s="68" t="str">
        <x:v>Orsolini</x:v>
      </x:c>
      <x:c r="D92" s="68" t="str">
        <x:v>Bologna</x:v>
      </x:c>
      <x:c r="E92" s="68" t="str">
        <x:v>Simo Q</x:v>
      </x:c>
      <x:c r="F92" s="68" t="n">
        <x:v>80</x:v>
      </x:c>
      <x:c r="G92" s="68" t="n">
        <x:v>30</x:v>
      </x:c>
      <x:c r="H92" s="68" t="n">
        <x:v>30</x:v>
      </x:c>
      <x:c r="I92" s="68" t="n">
        <x:f>H92-G92</x:f>
        <x:v>0</x:v>
      </x:c>
      <x:c r="J92" s="68" t="n">
        <x:v>218</x:v>
      </x:c>
      <x:c r="K92" s="73" t="n">
        <x:f>MAX(1,VLOOKUP(B92,'Parametri Modello'!$A$4:$H$7,2,FALSE)+VLOOKUP(B92,'Parametri Modello'!$A$4:$H$7,3,FALSE)*J92)</x:f>
        <x:v>72.66787889185557</x:v>
      </x:c>
      <x:c r="L92" s="73" t="n">
        <x:f>F92-K92</x:f>
        <x:v>7.332121108144435</x:v>
      </x:c>
      <x:c r="M92" s="75" t="n">
        <x:f>F92/K92</x:f>
        <x:v>1.1008990659966298</x:v>
      </x:c>
      <x:c r="N92" s="75" t="n">
        <x:f>F92/G92</x:f>
        <x:v>2.6666666666666665</x:v>
      </x:c>
      <x:c r="O92" s="68" t="n">
        <x:v>1</x:v>
      </x:c>
      <x:c r="P92" s="68" t="str">
        <x:v>Centrocampisti</x:v>
      </x:c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>
      <x:c r="A93" s="68" t="n">
        <x:v>4777</x:v>
      </x:c>
      <x:c r="B93" s="68" t="str">
        <x:v>C</x:v>
      </x:c>
      <x:c r="C93" s="68" t="str">
        <x:v>McTominay</x:v>
      </x:c>
      <x:c r="D93" s="68" t="str">
        <x:v>Napoli</x:v>
      </x:c>
      <x:c r="E93" s="68" t="str">
        <x:v>Alessio</x:v>
      </x:c>
      <x:c r="F93" s="68" t="n">
        <x:v>75</x:v>
      </x:c>
      <x:c r="G93" s="68" t="n">
        <x:v>26</x:v>
      </x:c>
      <x:c r="H93" s="68" t="n">
        <x:v>26</x:v>
      </x:c>
      <x:c r="I93" s="68" t="n">
        <x:f>H93-G93</x:f>
        <x:v>0</x:v>
      </x:c>
      <x:c r="J93" s="68" t="n">
        <x:v>208</x:v>
      </x:c>
      <x:c r="K93" s="73" t="n">
        <x:f>MAX(1,VLOOKUP(B93,'Parametri Modello'!$A$4:$H$7,2,FALSE)+VLOOKUP(B93,'Parametri Modello'!$A$4:$H$7,3,FALSE)*J93)</x:f>
        <x:v>69.2131956899087</x:v>
      </x:c>
      <x:c r="L93" s="73" t="n">
        <x:f>F93-K93</x:f>
        <x:v>5.7868043100912985</x:v>
      </x:c>
      <x:c r="M93" s="75" t="n">
        <x:f>F93/K93</x:f>
        <x:v>1.0836083965262568</x:v>
      </x:c>
      <x:c r="N93" s="75" t="n">
        <x:f>F93/G93</x:f>
        <x:v>2.8846153846153846</x:v>
      </x:c>
      <x:c r="O93" s="68" t="n">
        <x:v>1</x:v>
      </x:c>
      <x:c r="P93" s="68" t="str">
        <x:v>Centrocampisti</x:v>
      </x:c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>
      <x:c r="A94" s="68" t="n">
        <x:v>2423</x:v>
      </x:c>
      <x:c r="B94" s="68" t="str">
        <x:v>C</x:v>
      </x:c>
      <x:c r="C94" s="68" t="str">
        <x:v>Pulisic</x:v>
      </x:c>
      <x:c r="D94" s="68" t="str">
        <x:v>Milan</x:v>
      </x:c>
      <x:c r="E94" s="68" t="str">
        <x:v>Marco</x:v>
      </x:c>
      <x:c r="F94" s="68" t="n">
        <x:v>74</x:v>
      </x:c>
      <x:c r="G94" s="68" t="n">
        <x:v>28</x:v>
      </x:c>
      <x:c r="H94" s="68" t="n">
        <x:v>28</x:v>
      </x:c>
      <x:c r="I94" s="68" t="n">
        <x:f>H94-G94</x:f>
        <x:v>0</x:v>
      </x:c>
      <x:c r="J94" s="68" t="n">
        <x:v>218</x:v>
      </x:c>
      <x:c r="K94" s="73" t="n">
        <x:f>MAX(1,VLOOKUP(B94,'Parametri Modello'!$A$4:$H$7,2,FALSE)+VLOOKUP(B94,'Parametri Modello'!$A$4:$H$7,3,FALSE)*J94)</x:f>
        <x:v>72.66787889185557</x:v>
      </x:c>
      <x:c r="L94" s="73" t="n">
        <x:f>F94-K94</x:f>
        <x:v>1.3321211081444346</x:v>
      </x:c>
      <x:c r="M94" s="75" t="n">
        <x:f>F94/K94</x:f>
        <x:v>1.0183316360468826</x:v>
      </x:c>
      <x:c r="N94" s="75" t="n">
        <x:f>F94/G94</x:f>
        <x:v>2.642857142857143</x:v>
      </x:c>
      <x:c r="O94" s="68" t="n">
        <x:v>1</x:v>
      </x:c>
      <x:c r="P94" s="68" t="str">
        <x:v>Centrocampisti</x:v>
      </x:c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>
      <x:c r="A95" s="68" t="n">
        <x:v>6875</x:v>
      </x:c>
      <x:c r="B95" s="68" t="str">
        <x:v>C</x:v>
      </x:c>
      <x:c r="C95" s="68" t="str">
        <x:v>Paz N.</x:v>
      </x:c>
      <x:c r="D95" s="68" t="str">
        <x:v>Como</x:v>
      </x:c>
      <x:c r="E95" s="68" t="str">
        <x:v>Nicola</x:v>
      </x:c>
      <x:c r="F95" s="68" t="n">
        <x:v>65</x:v>
      </x:c>
      <x:c r="G95" s="68" t="n">
        <x:v>20</x:v>
      </x:c>
      <x:c r="H95" s="68" t="n">
        <x:v>21</x:v>
      </x:c>
      <x:c r="I95" s="68" t="n">
        <x:f>H95-G95</x:f>
        <x:v>1</x:v>
      </x:c>
      <x:c r="J95" s="68" t="n">
        <x:v>132</x:v>
      </x:c>
      <x:c r="K95" s="73" t="n">
        <x:f>MAX(1,VLOOKUP(B95,'Parametri Modello'!$A$4:$H$7,2,FALSE)+VLOOKUP(B95,'Parametri Modello'!$A$4:$H$7,3,FALSE)*J95)</x:f>
        <x:v>42.95760335511254</x:v>
      </x:c>
      <x:c r="L95" s="73" t="n">
        <x:f>F95-K95</x:f>
        <x:v>22.04239664488746</x:v>
      </x:c>
      <x:c r="M95" s="75" t="n">
        <x:f>F95/K95</x:f>
        <x:v>1.5131197954101905</x:v>
      </x:c>
      <x:c r="N95" s="75" t="n">
        <x:f>F95/G95</x:f>
        <x:v>3.25</x:v>
      </x:c>
      <x:c r="O95" s="68" t="n">
        <x:v>1</x:v>
      </x:c>
      <x:c r="P95" s="68" t="str">
        <x:v>Centrocampisti</x:v>
      </x:c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>
      <x:c r="A96" s="68" t="n">
        <x:v>632</x:v>
      </x:c>
      <x:c r="B96" s="68" t="str">
        <x:v>C</x:v>
      </x:c>
      <x:c r="C96" s="68" t="str">
        <x:v>Zaccagni</x:v>
      </x:c>
      <x:c r="D96" s="68" t="str">
        <x:v>Lazio</x:v>
      </x:c>
      <x:c r="E96" s="68" t="str">
        <x:v>Nicola</x:v>
      </x:c>
      <x:c r="F96" s="68" t="n">
        <x:v>64</x:v>
      </x:c>
      <x:c r="G96" s="68" t="n">
        <x:v>26</x:v>
      </x:c>
      <x:c r="H96" s="68" t="n">
        <x:v>26</x:v>
      </x:c>
      <x:c r="I96" s="68" t="n">
        <x:f>H96-G96</x:f>
        <x:v>0</x:v>
      </x:c>
      <x:c r="J96" s="68" t="n">
        <x:v>206</x:v>
      </x:c>
      <x:c r="K96" s="73" t="n">
        <x:f>MAX(1,VLOOKUP(B96,'Parametri Modello'!$A$4:$H$7,2,FALSE)+VLOOKUP(B96,'Parametri Modello'!$A$4:$H$7,3,FALSE)*J96)</x:f>
        <x:v>68.52225904951933</x:v>
      </x:c>
      <x:c r="L96" s="73" t="n">
        <x:f>F96-K96</x:f>
        <x:v>-4.522259049519334</x:v>
      </x:c>
      <x:c r="M96" s="75" t="n">
        <x:f>F96/K96</x:f>
        <x:v>0.9340030653943967</x:v>
      </x:c>
      <x:c r="N96" s="75" t="n">
        <x:f>F96/G96</x:f>
        <x:v>2.4615384615384617</x:v>
      </x:c>
      <x:c r="O96" s="68" t="n">
        <x:v>1</x:v>
      </x:c>
      <x:c r="P96" s="68" t="str">
        <x:v>Centrocampisti</x:v>
      </x:c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>
      <x:c r="A97" s="68" t="n">
        <x:v>2517</x:v>
      </x:c>
      <x:c r="B97" s="68" t="str">
        <x:v>C</x:v>
      </x:c>
      <x:c r="C97" s="68" t="str">
        <x:v>De Bruyne</x:v>
      </x:c>
      <x:c r="D97" s="68" t="str">
        <x:v>Napoli</x:v>
      </x:c>
      <x:c r="E97" s="68" t="str">
        <x:v>Andre</x:v>
      </x:c>
      <x:c r="F97" s="68" t="n">
        <x:v>62</x:v>
      </x:c>
      <x:c r="G97" s="68" t="n">
        <x:v>23</x:v>
      </x:c>
      <x:c r="H97" s="68" t="n">
        <x:v>23</x:v>
      </x:c>
      <x:c r="I97" s="68" t="n">
        <x:f>H97-G97</x:f>
        <x:v>0</x:v>
      </x:c>
      <x:c r="J97" s="68" t="n">
        <x:v>139</x:v>
      </x:c>
      <x:c r="K97" s="73" t="n">
        <x:f>MAX(1,VLOOKUP(B97,'Parametri Modello'!$A$4:$H$7,2,FALSE)+VLOOKUP(B97,'Parametri Modello'!$A$4:$H$7,3,FALSE)*J97)</x:f>
        <x:v>45.375881596475345</x:v>
      </x:c>
      <x:c r="L97" s="73" t="n">
        <x:f>F97-K97</x:f>
        <x:v>16.624118403524655</x:v>
      </x:c>
      <x:c r="M97" s="75" t="n">
        <x:f>F97/K97</x:f>
        <x:v>1.366364637305823</x:v>
      </x:c>
      <x:c r="N97" s="75" t="n">
        <x:f>F97/G97</x:f>
        <x:v>2.6956521739130435</x:v>
      </x:c>
      <x:c r="O97" s="68" t="n">
        <x:v>1</x:v>
      </x:c>
      <x:c r="P97" s="68" t="str">
        <x:v>Centrocampisti</x:v>
      </x:c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>
      <x:c r="A98" s="68" t="n">
        <x:v>5800</x:v>
      </x:c>
      <x:c r="B98" s="68" t="str">
        <x:v>C</x:v>
      </x:c>
      <x:c r="C98" s="68" t="str">
        <x:v>Gudmundsson A.</x:v>
      </x:c>
      <x:c r="D98" s="68" t="str">
        <x:v>Fiorentina</x:v>
      </x:c>
      <x:c r="E98" s="68" t="str">
        <x:v>Marco</x:v>
      </x:c>
      <x:c r="F98" s="68" t="n">
        <x:v>41</x:v>
      </x:c>
      <x:c r="G98" s="68" t="n">
        <x:v>24</x:v>
      </x:c>
      <x:c r="H98" s="68" t="n">
        <x:v>24</x:v>
      </x:c>
      <x:c r="I98" s="68" t="n">
        <x:f>H98-G98</x:f>
        <x:v>0</x:v>
      </x:c>
      <x:c r="J98" s="68" t="n">
        <x:v>156</x:v>
      </x:c>
      <x:c r="K98" s="73" t="n">
        <x:f>MAX(1,VLOOKUP(B98,'Parametri Modello'!$A$4:$H$7,2,FALSE)+VLOOKUP(B98,'Parametri Modello'!$A$4:$H$7,3,FALSE)*J98)</x:f>
        <x:v>51.248843039785015</x:v>
      </x:c>
      <x:c r="L98" s="73" t="n">
        <x:f>F98-K98</x:f>
        <x:v>-10.248843039785015</x:v>
      </x:c>
      <x:c r="M98" s="75" t="n">
        <x:f>F98/K98</x:f>
        <x:v>0.8000180602744782</x:v>
      </x:c>
      <x:c r="N98" s="75" t="n">
        <x:f>F98/G98</x:f>
        <x:v>1.7083333333333333</x:v>
      </x:c>
      <x:c r="O98" s="68" t="n">
        <x:v>1</x:v>
      </x:c>
      <x:c r="P98" s="68" t="str">
        <x:v>Centrocampisti</x:v>
      </x:c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>
      <x:c r="A99" s="68" t="n">
        <x:v>1870</x:v>
      </x:c>
      <x:c r="B99" s="68" t="str">
        <x:v>C</x:v>
      </x:c>
      <x:c r="C99" s="68" t="str">
        <x:v>Barella</x:v>
      </x:c>
      <x:c r="D99" s="68" t="str">
        <x:v>Inter</x:v>
      </x:c>
      <x:c r="E99" s="68" t="str">
        <x:v>Cri</x:v>
      </x:c>
      <x:c r="F99" s="68" t="n">
        <x:v>30</x:v>
      </x:c>
      <x:c r="G99" s="68" t="n">
        <x:v>14</x:v>
      </x:c>
      <x:c r="H99" s="68" t="n">
        <x:v>14</x:v>
      </x:c>
      <x:c r="I99" s="68" t="n">
        <x:f>H99-G99</x:f>
        <x:v>0</x:v>
      </x:c>
      <x:c r="J99" s="68" t="n">
        <x:v>55</x:v>
      </x:c>
      <x:c r="K99" s="73" t="n">
        <x:f>MAX(1,VLOOKUP(B99,'Parametri Modello'!$A$4:$H$7,2,FALSE)+VLOOKUP(B99,'Parametri Modello'!$A$4:$H$7,3,FALSE)*J99)</x:f>
        <x:v>16.35654270012168</x:v>
      </x:c>
      <x:c r="L99" s="73" t="n">
        <x:f>F99-K99</x:f>
        <x:v>13.643457299878321</x:v>
      </x:c>
      <x:c r="M99" s="75" t="n">
        <x:f>F99/K99</x:f>
        <x:v>1.8341284310514363</x:v>
      </x:c>
      <x:c r="N99" s="75" t="n">
        <x:f>F99/G99</x:f>
        <x:v>2.142857142857143</x:v>
      </x:c>
      <x:c r="O99" s="68" t="n">
        <x:v>1</x:v>
      </x:c>
      <x:c r="P99" s="68" t="str">
        <x:v>Centrocampisti</x:v>
      </x:c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>
      <x:c r="A100" s="68" t="n">
        <x:v>6884</x:v>
      </x:c>
      <x:c r="B100" s="68" t="str">
        <x:v>C</x:v>
      </x:c>
      <x:c r="C100" s="68" t="str">
        <x:v>Conceicao</x:v>
      </x:c>
      <x:c r="D100" s="68" t="str">
        <x:v>Juventus</x:v>
      </x:c>
      <x:c r="E100" s="68" t="str">
        <x:v>Alessio</x:v>
      </x:c>
      <x:c r="F100" s="68" t="n">
        <x:v>30</x:v>
      </x:c>
      <x:c r="G100" s="68" t="n">
        <x:v>18</x:v>
      </x:c>
      <x:c r="H100" s="68" t="n">
        <x:v>18</x:v>
      </x:c>
      <x:c r="I100" s="68" t="n">
        <x:f>H100-G100</x:f>
        <x:v>0</x:v>
      </x:c>
      <x:c r="J100" s="68" t="n">
        <x:v>81</x:v>
      </x:c>
      <x:c r="K100" s="73" t="n">
        <x:f>MAX(1,VLOOKUP(B100,'Parametri Modello'!$A$4:$H$7,2,FALSE)+VLOOKUP(B100,'Parametri Modello'!$A$4:$H$7,3,FALSE)*J100)</x:f>
        <x:v>25.338719025183526</x:v>
      </x:c>
      <x:c r="L100" s="73" t="n">
        <x:f>F100-K100</x:f>
        <x:v>4.661280974816474</x:v>
      </x:c>
      <x:c r="M100" s="75" t="n">
        <x:f>F100/K100</x:f>
        <x:v>1.1839588248397144</x:v>
      </x:c>
      <x:c r="N100" s="75" t="n">
        <x:f>F100/G100</x:f>
        <x:v>1.6666666666666667</x:v>
      </x:c>
      <x:c r="O100" s="68" t="n">
        <x:v>1</x:v>
      </x:c>
      <x:c r="P100" s="68" t="str">
        <x:v>Centrocampisti</x:v>
      </x:c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>
      <x:c r="A101" s="68" t="n">
        <x:v>6908</x:v>
      </x:c>
      <x:c r="B101" s="68" t="str">
        <x:v>C</x:v>
      </x:c>
      <x:c r="C101" s="68" t="str">
        <x:v>Atta</x:v>
      </x:c>
      <x:c r="D101" s="68" t="str">
        <x:v>Udinese</x:v>
      </x:c>
      <x:c r="E101" s="68" t="str">
        <x:v>Simo Q</x:v>
      </x:c>
      <x:c r="F101" s="68" t="n">
        <x:v>27</x:v>
      </x:c>
      <x:c r="G101" s="68" t="n">
        <x:v>6</x:v>
      </x:c>
      <x:c r="H101" s="68" t="n">
        <x:v>8</x:v>
      </x:c>
      <x:c r="I101" s="68" t="n">
        <x:f>H101-G101</x:f>
        <x:v>2</x:v>
      </x:c>
      <x:c r="J101" s="68" t="n">
        <x:v>32</x:v>
      </x:c>
      <x:c r="K101" s="73" t="n">
        <x:f>MAX(1,VLOOKUP(B101,'Parametri Modello'!$A$4:$H$7,2,FALSE)+VLOOKUP(B101,'Parametri Modello'!$A$4:$H$7,3,FALSE)*J101)</x:f>
        <x:v>8.410771335643888</x:v>
      </x:c>
      <x:c r="L101" s="73" t="n">
        <x:f>F101-K101</x:f>
        <x:v>18.589228664356114</x:v>
      </x:c>
      <x:c r="M101" s="75" t="n">
        <x:f>F101/K101</x:f>
        <x:v>3.2101693082032896</x:v>
      </x:c>
      <x:c r="N101" s="75" t="n">
        <x:f>F101/G101</x:f>
        <x:v>4.5</x:v>
      </x:c>
      <x:c r="O101" s="68" t="n">
        <x:v>3</x:v>
      </x:c>
      <x:c r="P101" s="68" t="str">
        <x:v>Centrocampisti</x:v>
      </x:c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>
      <x:c r="A102" s="68" t="n">
        <x:v>2379</x:v>
      </x:c>
      <x:c r="B102" s="68" t="str">
        <x:v>C</x:v>
      </x:c>
      <x:c r="C102" s="68" t="str">
        <x:v>Rabiot</x:v>
      </x:c>
      <x:c r="D102" s="68" t="str">
        <x:v>Milan</x:v>
      </x:c>
      <x:c r="E102" s="68" t="str">
        <x:v>IO</x:v>
      </x:c>
      <x:c r="F102" s="68" t="n">
        <x:v>27</x:v>
      </x:c>
      <x:c r="G102" s="68" t="n">
        <x:v>23</x:v>
      </x:c>
      <x:c r="H102" s="68" t="n">
        <x:v>23</x:v>
      </x:c>
      <x:c r="I102" s="68" t="n">
        <x:f>H102-G102</x:f>
        <x:v>0</x:v>
      </x:c>
      <x:c r="J102" s="68" t="n">
        <x:v>145</x:v>
      </x:c>
      <x:c r="K102" s="73" t="n">
        <x:f>MAX(1,VLOOKUP(B102,'Parametri Modello'!$A$4:$H$7,2,FALSE)+VLOOKUP(B102,'Parametri Modello'!$A$4:$H$7,3,FALSE)*J102)</x:f>
        <x:v>47.44869151764346</x:v>
      </x:c>
      <x:c r="L102" s="73" t="n">
        <x:f>F102-K102</x:f>
        <x:v>-20.44869151764346</x:v>
      </x:c>
      <x:c r="M102" s="75" t="n">
        <x:f>F102/K102</x:f>
        <x:v>0.5690357128175019</x:v>
      </x:c>
      <x:c r="N102" s="75" t="n">
        <x:f>F102/G102</x:f>
        <x:v>1.173913043478261</x:v>
      </x:c>
      <x:c r="O102" s="68" t="n">
        <x:v>1</x:v>
      </x:c>
      <x:c r="P102" s="68" t="str">
        <x:v>Centrocampisti</x:v>
      </x:c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>
      <x:c r="A103" s="68" t="n">
        <x:v>2194</x:v>
      </x:c>
      <x:c r="B103" s="68" t="str">
        <x:v>C</x:v>
      </x:c>
      <x:c r="C103" s="68" t="str">
        <x:v>Calhanoglu</x:v>
      </x:c>
      <x:c r="D103" s="68" t="str">
        <x:v>Inter</x:v>
      </x:c>
      <x:c r="E103" s="68" t="str">
        <x:v>Marco</x:v>
      </x:c>
      <x:c r="F103" s="68" t="n">
        <x:v>26</x:v>
      </x:c>
      <x:c r="G103" s="68" t="n">
        <x:v>23</x:v>
      </x:c>
      <x:c r="H103" s="68" t="n">
        <x:v>22</x:v>
      </x:c>
      <x:c r="I103" s="68" t="n">
        <x:f>H103-G103</x:f>
        <x:v>-1</x:v>
      </x:c>
      <x:c r="J103" s="68" t="n">
        <x:v>143</x:v>
      </x:c>
      <x:c r="K103" s="73" t="n">
        <x:f>MAX(1,VLOOKUP(B103,'Parametri Modello'!$A$4:$H$7,2,FALSE)+VLOOKUP(B103,'Parametri Modello'!$A$4:$H$7,3,FALSE)*J103)</x:f>
        <x:v>46.75775487725409</x:v>
      </x:c>
      <x:c r="L103" s="73" t="n">
        <x:f>F103-K103</x:f>
        <x:v>-20.757754877254087</x:v>
      </x:c>
      <x:c r="M103" s="75" t="n">
        <x:f>F103/K103</x:f>
        <x:v>0.5560574939548271</x:v>
      </x:c>
      <x:c r="N103" s="75" t="n">
        <x:f>F103/G103</x:f>
        <x:v>1.1304347826086956</x:v>
      </x:c>
      <x:c r="O103" s="68" t="n">
        <x:v>1</x:v>
      </x:c>
      <x:c r="P103" s="68" t="str">
        <x:v>Centrocampisti</x:v>
      </x:c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>
      <x:c r="A104" s="68" t="n">
        <x:v>536</x:v>
      </x:c>
      <x:c r="B104" s="68" t="str">
        <x:v>C</x:v>
      </x:c>
      <x:c r="C104" s="68" t="str">
        <x:v>Politano</x:v>
      </x:c>
      <x:c r="D104" s="68" t="str">
        <x:v>Napoli</x:v>
      </x:c>
      <x:c r="E104" s="68" t="str">
        <x:v>Andre</x:v>
      </x:c>
      <x:c r="F104" s="68" t="n">
        <x:v>26</x:v>
      </x:c>
      <x:c r="G104" s="68" t="n">
        <x:v>15</x:v>
      </x:c>
      <x:c r="H104" s="68" t="n">
        <x:v>16</x:v>
      </x:c>
      <x:c r="I104" s="68" t="n">
        <x:f>H104-G104</x:f>
        <x:v>1</x:v>
      </x:c>
      <x:c r="J104" s="68" t="n">
        <x:v>65</x:v>
      </x:c>
      <x:c r="K104" s="73" t="n">
        <x:f>MAX(1,VLOOKUP(B104,'Parametri Modello'!$A$4:$H$7,2,FALSE)+VLOOKUP(B104,'Parametri Modello'!$A$4:$H$7,3,FALSE)*J104)</x:f>
        <x:v>19.811225902068543</x:v>
      </x:c>
      <x:c r="L104" s="73" t="n">
        <x:f>F104-K104</x:f>
        <x:v>6.188774097931457</x:v>
      </x:c>
      <x:c r="M104" s="75" t="n">
        <x:f>F104/K104</x:f>
        <x:v>1.3123872358290192</x:v>
      </x:c>
      <x:c r="N104" s="75" t="n">
        <x:f>F104/G104</x:f>
        <x:v>1.7333333333333334</x:v>
      </x:c>
      <x:c r="O104" s="68" t="n">
        <x:v>1</x:v>
      </x:c>
      <x:c r="P104" s="68" t="str">
        <x:v>Centrocampisti</x:v>
      </x:c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>
      <x:c r="A105" s="68" t="n">
        <x:v>4220</x:v>
      </x:c>
      <x:c r="B105" s="68" t="str">
        <x:v>C</x:v>
      </x:c>
      <x:c r="C105" s="68" t="str">
        <x:v>Zambo Anguissa</x:v>
      </x:c>
      <x:c r="D105" s="68" t="str">
        <x:v>Napoli</x:v>
      </x:c>
      <x:c r="E105" s="68" t="str">
        <x:v>Carlo</x:v>
      </x:c>
      <x:c r="F105" s="68" t="n">
        <x:v>25</x:v>
      </x:c>
      <x:c r="G105" s="68" t="n">
        <x:v>15</x:v>
      </x:c>
      <x:c r="H105" s="68" t="n">
        <x:v>16</x:v>
      </x:c>
      <x:c r="I105" s="68" t="n">
        <x:f>H105-G105</x:f>
        <x:v>1</x:v>
      </x:c>
      <x:c r="J105" s="68" t="n">
        <x:v>63</x:v>
      </x:c>
      <x:c r="K105" s="73" t="n">
        <x:f>MAX(1,VLOOKUP(B105,'Parametri Modello'!$A$4:$H$7,2,FALSE)+VLOOKUP(B105,'Parametri Modello'!$A$4:$H$7,3,FALSE)*J105)</x:f>
        <x:v>19.12028926167917</x:v>
      </x:c>
      <x:c r="L105" s="73" t="n">
        <x:f>F105-K105</x:f>
        <x:v>5.879710738320831</x:v>
      </x:c>
      <x:c r="M105" s="75" t="n">
        <x:f>F105/K105</x:f>
        <x:v>1.307511599738448</x:v>
      </x:c>
      <x:c r="N105" s="75" t="n">
        <x:f>F105/G105</x:f>
        <x:v>1.6666666666666667</x:v>
      </x:c>
      <x:c r="O105" s="68" t="n">
        <x:v>1</x:v>
      </x:c>
      <x:c r="P105" s="68" t="str">
        <x:v>Centrocampisti</x:v>
      </x:c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>
      <x:c r="A106" s="68" t="n">
        <x:v>2606</x:v>
      </x:c>
      <x:c r="B106" s="68" t="str">
        <x:v>C</x:v>
      </x:c>
      <x:c r="C106" s="68" t="str">
        <x:v>Modric</x:v>
      </x:c>
      <x:c r="D106" s="68" t="str">
        <x:v>Milan</x:v>
      </x:c>
      <x:c r="E106" s="68" t="str">
        <x:v>Carlo</x:v>
      </x:c>
      <x:c r="F106" s="68" t="n">
        <x:v>24</x:v>
      </x:c>
      <x:c r="G106" s="68" t="n">
        <x:v>12</x:v>
      </x:c>
      <x:c r="H106" s="68" t="n">
        <x:v>13</x:v>
      </x:c>
      <x:c r="I106" s="68" t="n">
        <x:f>H106-G106</x:f>
        <x:v>1</x:v>
      </x:c>
      <x:c r="J106" s="68" t="n">
        <x:v>42</x:v>
      </x:c>
      <x:c r="K106" s="73" t="n">
        <x:f>MAX(1,VLOOKUP(B106,'Parametri Modello'!$A$4:$H$7,2,FALSE)+VLOOKUP(B106,'Parametri Modello'!$A$4:$H$7,3,FALSE)*J106)</x:f>
        <x:v>11.865454537590754</x:v>
      </x:c>
      <x:c r="L106" s="73" t="n">
        <x:f>F106-K106</x:f>
        <x:v>12.134545462409246</x:v>
      </x:c>
      <x:c r="M106" s="75" t="n">
        <x:f>F106/K106</x:f>
        <x:v>2.0226785180429445</x:v>
      </x:c>
      <x:c r="N106" s="75" t="n">
        <x:f>F106/G106</x:f>
        <x:v>2</x:v>
      </x:c>
      <x:c r="O106" s="68" t="n">
        <x:v>2</x:v>
      </x:c>
      <x:c r="P106" s="68" t="str">
        <x:v>Centrocampisti</x:v>
      </x:c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>
      <x:c r="A107" s="68" t="n">
        <x:v>4892</x:v>
      </x:c>
      <x:c r="B107" s="68" t="str">
        <x:v>C</x:v>
      </x:c>
      <x:c r="C107" s="68" t="str">
        <x:v>Saelemaekers</x:v>
      </x:c>
      <x:c r="D107" s="68" t="str">
        <x:v>Milan</x:v>
      </x:c>
      <x:c r="E107" s="68" t="str">
        <x:v>Alessio</x:v>
      </x:c>
      <x:c r="F107" s="68" t="n">
        <x:v>20</x:v>
      </x:c>
      <x:c r="G107" s="68" t="n">
        <x:v>12</x:v>
      </x:c>
      <x:c r="H107" s="68" t="n">
        <x:v>12</x:v>
      </x:c>
      <x:c r="I107" s="68" t="n">
        <x:f>H107-G107</x:f>
        <x:v>0</x:v>
      </x:c>
      <x:c r="J107" s="68" t="n">
        <x:v>40</x:v>
      </x:c>
      <x:c r="K107" s="73" t="n">
        <x:f>MAX(1,VLOOKUP(B107,'Parametri Modello'!$A$4:$H$7,2,FALSE)+VLOOKUP(B107,'Parametri Modello'!$A$4:$H$7,3,FALSE)*J107)</x:f>
        <x:v>11.17451789720138</x:v>
      </x:c>
      <x:c r="L107" s="73" t="n">
        <x:f>F107-K107</x:f>
        <x:v>8.82548210279862</x:v>
      </x:c>
      <x:c r="M107" s="75" t="n">
        <x:f>F107/K107</x:f>
        <x:v>1.7897863857740952</x:v>
      </x:c>
      <x:c r="N107" s="75" t="n">
        <x:f>F107/G107</x:f>
        <x:v>1.6666666666666667</x:v>
      </x:c>
      <x:c r="O107" s="68" t="n">
        <x:v>2</x:v>
      </x:c>
      <x:c r="P107" s="68" t="str">
        <x:v>Centrocampisti</x:v>
      </x:c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>
      <x:c r="A108" s="68" t="n">
        <x:v>5562</x:v>
      </x:c>
      <x:c r="B108" s="68" t="str">
        <x:v>C</x:v>
      </x:c>
      <x:c r="C108" s="68" t="str">
        <x:v>Thuram K.</x:v>
      </x:c>
      <x:c r="D108" s="68" t="str">
        <x:v>Juventus</x:v>
      </x:c>
      <x:c r="E108" s="68" t="str">
        <x:v>Cri</x:v>
      </x:c>
      <x:c r="F108" s="68" t="n">
        <x:v>20</x:v>
      </x:c>
      <x:c r="G108" s="68" t="n">
        <x:v>16</x:v>
      </x:c>
      <x:c r="H108" s="68" t="n">
        <x:v>16</x:v>
      </x:c>
      <x:c r="I108" s="68" t="n">
        <x:f>H108-G108</x:f>
        <x:v>0</x:v>
      </x:c>
      <x:c r="J108" s="68" t="n">
        <x:v>57</x:v>
      </x:c>
      <x:c r="K108" s="73" t="n">
        <x:f>MAX(1,VLOOKUP(B108,'Parametri Modello'!$A$4:$H$7,2,FALSE)+VLOOKUP(B108,'Parametri Modello'!$A$4:$H$7,3,FALSE)*J108)</x:f>
        <x:v>17.04747934051105</x:v>
      </x:c>
      <x:c r="L108" s="73" t="n">
        <x:f>F108-K108</x:f>
        <x:v>2.9525206594889504</x:v>
      </x:c>
      <x:c r="M108" s="75" t="n">
        <x:f>F108/K108</x:f>
        <x:v>1.173193971995184</x:v>
      </x:c>
      <x:c r="N108" s="75" t="n">
        <x:f>F108/G108</x:f>
        <x:v>1.25</x:v>
      </x:c>
      <x:c r="O108" s="68" t="n">
        <x:v>1</x:v>
      </x:c>
      <x:c r="P108" s="68" t="str">
        <x:v>Centrocampisti</x:v>
      </x:c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>
      <x:c r="A109" s="68" t="n">
        <x:v>5792</x:v>
      </x:c>
      <x:c r="B109" s="68" t="str">
        <x:v>C</x:v>
      </x:c>
      <x:c r="C109" s="68" t="str">
        <x:v>Ederson D.S.</x:v>
      </x:c>
      <x:c r="D109" s="68" t="str">
        <x:v>Atalanta</x:v>
      </x:c>
      <x:c r="E109" s="68" t="str">
        <x:v>Carlo</x:v>
      </x:c>
      <x:c r="F109" s="68" t="n">
        <x:v>18</x:v>
      </x:c>
      <x:c r="G109" s="68" t="n">
        <x:v>15</x:v>
      </x:c>
      <x:c r="H109" s="68" t="n">
        <x:v>14</x:v>
      </x:c>
      <x:c r="I109" s="68" t="n">
        <x:f>H109-G109</x:f>
        <x:v>-1</x:v>
      </x:c>
      <x:c r="J109" s="68" t="n">
        <x:v>42</x:v>
      </x:c>
      <x:c r="K109" s="73" t="n">
        <x:f>MAX(1,VLOOKUP(B109,'Parametri Modello'!$A$4:$H$7,2,FALSE)+VLOOKUP(B109,'Parametri Modello'!$A$4:$H$7,3,FALSE)*J109)</x:f>
        <x:v>11.865454537590754</x:v>
      </x:c>
      <x:c r="L109" s="73" t="n">
        <x:f>F109-K109</x:f>
        <x:v>6.134545462409246</x:v>
      </x:c>
      <x:c r="M109" s="75" t="n">
        <x:f>F109/K109</x:f>
        <x:v>1.5170088885322086</x:v>
      </x:c>
      <x:c r="N109" s="75" t="n">
        <x:f>F109/G109</x:f>
        <x:v>1.2</x:v>
      </x:c>
      <x:c r="O109" s="68" t="n">
        <x:v>2</x:v>
      </x:c>
      <x:c r="P109" s="68" t="str">
        <x:v>Centrocampisti</x:v>
      </x:c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>
      <x:c r="A110" s="68" t="n">
        <x:v>4199</x:v>
      </x:c>
      <x:c r="B110" s="68" t="str">
        <x:v>C</x:v>
      </x:c>
      <x:c r="C110" s="68" t="str">
        <x:v>Loftus-Cheek</x:v>
      </x:c>
      <x:c r="D110" s="68" t="str">
        <x:v>Milan</x:v>
      </x:c>
      <x:c r="E110" s="68" t="str">
        <x:v>IO</x:v>
      </x:c>
      <x:c r="F110" s="68" t="n">
        <x:v>18</x:v>
      </x:c>
      <x:c r="G110" s="68" t="n">
        <x:v>8</x:v>
      </x:c>
      <x:c r="H110" s="68" t="n">
        <x:v>9</x:v>
      </x:c>
      <x:c r="I110" s="68" t="n">
        <x:f>H110-G110</x:f>
        <x:v>1</x:v>
      </x:c>
      <x:c r="J110" s="68" t="n">
        <x:v>21</x:v>
      </x:c>
      <x:c r="K110" s="73" t="n">
        <x:f>MAX(1,VLOOKUP(B110,'Parametri Modello'!$A$4:$H$7,2,FALSE)+VLOOKUP(B110,'Parametri Modello'!$A$4:$H$7,3,FALSE)*J110)</x:f>
        <x:v>4.610619813502337</x:v>
      </x:c>
      <x:c r="L110" s="73" t="n">
        <x:f>F110-K110</x:f>
        <x:v>13.389380186497663</x:v>
      </x:c>
      <x:c r="M110" s="75" t="n">
        <x:f>F110/K110</x:f>
        <x:v>3.9040304184887384</x:v>
      </x:c>
      <x:c r="N110" s="75" t="n">
        <x:f>F110/G110</x:f>
        <x:v>2.25</x:v>
      </x:c>
      <x:c r="O110" s="68" t="n">
        <x:v>4</x:v>
      </x:c>
      <x:c r="P110" s="68" t="str">
        <x:v>Centrocampisti</x:v>
      </x:c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>
      <x:c r="A111" s="68" t="n">
        <x:v>2765</x:v>
      </x:c>
      <x:c r="B111" s="68" t="str">
        <x:v>C</x:v>
      </x:c>
      <x:c r="C111" s="68" t="str">
        <x:v>Odgaard</x:v>
      </x:c>
      <x:c r="D111" s="68" t="str">
        <x:v>Bologna</x:v>
      </x:c>
      <x:c r="E111" s="68" t="str">
        <x:v>IO</x:v>
      </x:c>
      <x:c r="F111" s="68" t="n">
        <x:v>18</x:v>
      </x:c>
      <x:c r="G111" s="68" t="n">
        <x:v>16</x:v>
      </x:c>
      <x:c r="H111" s="68" t="n">
        <x:v>15</x:v>
      </x:c>
      <x:c r="I111" s="68" t="n">
        <x:f>H111-G111</x:f>
        <x:v>-1</x:v>
      </x:c>
      <x:c r="J111" s="68" t="n">
        <x:v>67</x:v>
      </x:c>
      <x:c r="K111" s="73" t="n">
        <x:f>MAX(1,VLOOKUP(B111,'Parametri Modello'!$A$4:$H$7,2,FALSE)+VLOOKUP(B111,'Parametri Modello'!$A$4:$H$7,3,FALSE)*J111)</x:f>
        <x:v>20.502162542457913</x:v>
      </x:c>
      <x:c r="L111" s="73" t="n">
        <x:f>F111-K111</x:f>
        <x:v>-2.5021625424579135</x:v>
      </x:c>
      <x:c r="M111" s="75" t="n">
        <x:f>F111/K111</x:f>
        <x:v>0.8779561650008292</x:v>
      </x:c>
      <x:c r="N111" s="75" t="n">
        <x:f>F111/G111</x:f>
        <x:v>1.125</x:v>
      </x:c>
      <x:c r="O111" s="68" t="n">
        <x:v>1</x:v>
      </x:c>
      <x:c r="P111" s="68" t="str">
        <x:v>Centrocampisti</x:v>
      </x:c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>
      <x:c r="A112" s="68" t="n">
        <x:v>5318</x:v>
      </x:c>
      <x:c r="B112" s="68" t="str">
        <x:v>C</x:v>
      </x:c>
      <x:c r="C112" s="68" t="str">
        <x:v>Tramoni M.</x:v>
      </x:c>
      <x:c r="D112" s="68" t="str">
        <x:v>Pisa</x:v>
      </x:c>
      <x:c r="E112" s="68" t="str">
        <x:v>Marco</x:v>
      </x:c>
      <x:c r="F112" s="68" t="n">
        <x:v>17</x:v>
      </x:c>
      <x:c r="G112" s="68" t="n">
        <x:v>12</x:v>
      </x:c>
      <x:c r="H112" s="68" t="n">
        <x:v>12</x:v>
      </x:c>
      <x:c r="I112" s="68" t="n">
        <x:f>H112-G112</x:f>
        <x:v>0</x:v>
      </x:c>
      <x:c r="J112" s="68" t="n">
        <x:v>41</x:v>
      </x:c>
      <x:c r="K112" s="73" t="n">
        <x:f>MAX(1,VLOOKUP(B112,'Parametri Modello'!$A$4:$H$7,2,FALSE)+VLOOKUP(B112,'Parametri Modello'!$A$4:$H$7,3,FALSE)*J112)</x:f>
        <x:v>11.519986217396067</x:v>
      </x:c>
      <x:c r="L112" s="73" t="n">
        <x:f>F112-K112</x:f>
        <x:v>5.480013782603933</x:v>
      </x:c>
      <x:c r="M112" s="75" t="n">
        <x:f>F112/K112</x:f>
        <x:v>1.475696209977117</x:v>
      </x:c>
      <x:c r="N112" s="75" t="n">
        <x:f>F112/G112</x:f>
        <x:v>1.4166666666666667</x:v>
      </x:c>
      <x:c r="O112" s="68" t="n">
        <x:v>2</x:v>
      </x:c>
      <x:c r="P112" s="68" t="str">
        <x:v>Centrocampisti</x:v>
      </x:c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>
      <x:c r="A113" s="68" t="n">
        <x:v>2670</x:v>
      </x:c>
      <x:c r="B113" s="68" t="str">
        <x:v>C</x:v>
      </x:c>
      <x:c r="C113" s="68" t="str">
        <x:v>Bailey</x:v>
      </x:c>
      <x:c r="D113" s="68" t="str">
        <x:v>Roma</x:v>
      </x:c>
      <x:c r="E113" s="68" t="str">
        <x:v>Simo Q</x:v>
      </x:c>
      <x:c r="F113" s="68" t="n">
        <x:v>15</x:v>
      </x:c>
      <x:c r="G113" s="68" t="n">
        <x:v>16</x:v>
      </x:c>
      <x:c r="H113" s="68" t="n">
        <x:v>15</x:v>
      </x:c>
      <x:c r="I113" s="68" t="n">
        <x:f>H113-G113</x:f>
        <x:v>-1</x:v>
      </x:c>
      <x:c r="J113" s="68" t="n">
        <x:v>51</x:v>
      </x:c>
      <x:c r="K113" s="73" t="n">
        <x:f>MAX(1,VLOOKUP(B113,'Parametri Modello'!$A$4:$H$7,2,FALSE)+VLOOKUP(B113,'Parametri Modello'!$A$4:$H$7,3,FALSE)*J113)</x:f>
        <x:v>14.97466941934293</x:v>
      </x:c>
      <x:c r="L113" s="73" t="n">
        <x:f>F113-K113</x:f>
        <x:v>0.02533058065706939</x:v>
      </x:c>
      <x:c r="M113" s="75" t="n">
        <x:f>F113/K113</x:f>
        <x:v>1.0016915619268596</x:v>
      </x:c>
      <x:c r="N113" s="75" t="n">
        <x:f>F113/G113</x:f>
        <x:v>0.9375</x:v>
      </x:c>
      <x:c r="O113" s="68" t="n">
        <x:v>2</x:v>
      </x:c>
      <x:c r="P113" s="68" t="str">
        <x:v>Centrocampisti</x:v>
      </x:c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>
      <x:c r="A114" s="68" t="n">
        <x:v>4186</x:v>
      </x:c>
      <x:c r="B114" s="68" t="str">
        <x:v>C</x:v>
      </x:c>
      <x:c r="C114" s="68" t="str">
        <x:v>Guendouzi</x:v>
      </x:c>
      <x:c r="D114" s="68" t="str">
        <x:v>Lazio</x:v>
      </x:c>
      <x:c r="E114" s="68" t="str">
        <x:v>Carlo</x:v>
      </x:c>
      <x:c r="F114" s="68" t="n">
        <x:v>15</x:v>
      </x:c>
      <x:c r="G114" s="68" t="n">
        <x:v>11</x:v>
      </x:c>
      <x:c r="H114" s="68" t="n">
        <x:v>12</x:v>
      </x:c>
      <x:c r="I114" s="68" t="n">
        <x:f>H114-G114</x:f>
        <x:v>1</x:v>
      </x:c>
      <x:c r="J114" s="68" t="n">
        <x:v>23</x:v>
      </x:c>
      <x:c r="K114" s="73" t="n">
        <x:f>MAX(1,VLOOKUP(B114,'Parametri Modello'!$A$4:$H$7,2,FALSE)+VLOOKUP(B114,'Parametri Modello'!$A$4:$H$7,3,FALSE)*J114)</x:f>
        <x:v>5.30155645389171</x:v>
      </x:c>
      <x:c r="L114" s="73" t="n">
        <x:f>F114-K114</x:f>
        <x:v>9.69844354610829</x:v>
      </x:c>
      <x:c r="M114" s="75" t="n">
        <x:f>F114/K114</x:f>
        <x:v>2.8293577802022574</x:v>
      </x:c>
      <x:c r="N114" s="75" t="n">
        <x:f>F114/G114</x:f>
        <x:v>1.3636363636363635</x:v>
      </x:c>
      <x:c r="O114" s="68" t="n">
        <x:v>4</x:v>
      </x:c>
      <x:c r="P114" s="68" t="str">
        <x:v>Centrocampisti</x:v>
      </x:c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>
      <x:c r="A115" s="68" t="n">
        <x:v>5559</x:v>
      </x:c>
      <x:c r="B115" s="68" t="str">
        <x:v>C</x:v>
      </x:c>
      <x:c r="C115" s="68" t="str">
        <x:v>Da Cunha</x:v>
      </x:c>
      <x:c r="D115" s="68" t="str">
        <x:v>Como</x:v>
      </x:c>
      <x:c r="E115" s="68" t="str">
        <x:v>Carlo</x:v>
      </x:c>
      <x:c r="F115" s="68" t="n">
        <x:v>14</x:v>
      </x:c>
      <x:c r="G115" s="68" t="n">
        <x:v>12</x:v>
      </x:c>
      <x:c r="H115" s="68" t="n">
        <x:v>12</x:v>
      </x:c>
      <x:c r="I115" s="68" t="n">
        <x:f>H115-G115</x:f>
        <x:v>0</x:v>
      </x:c>
      <x:c r="J115" s="68" t="n">
        <x:v>33</x:v>
      </x:c>
      <x:c r="K115" s="73" t="n">
        <x:f>MAX(1,VLOOKUP(B115,'Parametri Modello'!$A$4:$H$7,2,FALSE)+VLOOKUP(B115,'Parametri Modello'!$A$4:$H$7,3,FALSE)*J115)</x:f>
        <x:v>8.756239655838575</x:v>
      </x:c>
      <x:c r="L115" s="73" t="n">
        <x:f>F115-K115</x:f>
        <x:v>5.243760344161425</x:v>
      </x:c>
      <x:c r="M115" s="75" t="n">
        <x:f>F115/K115</x:f>
        <x:v>1.5988598474077782</x:v>
      </x:c>
      <x:c r="N115" s="75" t="n">
        <x:f>F115/G115</x:f>
        <x:v>1.1666666666666667</x:v>
      </x:c>
      <x:c r="O115" s="68" t="n">
        <x:v>3</x:v>
      </x:c>
      <x:c r="P115" s="68" t="str">
        <x:v>Centrocampisti</x:v>
      </x:c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>
      <x:c r="A116" s="68" t="n">
        <x:v>5589</x:v>
      </x:c>
      <x:c r="B116" s="68" t="str">
        <x:v>C</x:v>
      </x:c>
      <x:c r="C116" s="68" t="str">
        <x:v>Konè M.</x:v>
      </x:c>
      <x:c r="D116" s="68" t="str">
        <x:v>Roma</x:v>
      </x:c>
      <x:c r="E116" s="68" t="str">
        <x:v>Cri</x:v>
      </x:c>
      <x:c r="F116" s="68" t="n">
        <x:v>13</x:v>
      </x:c>
      <x:c r="G116" s="68" t="n">
        <x:v>14</x:v>
      </x:c>
      <x:c r="H116" s="68" t="n">
        <x:v>14</x:v>
      </x:c>
      <x:c r="I116" s="68" t="n">
        <x:f>H116-G116</x:f>
        <x:v>0</x:v>
      </x:c>
      <x:c r="J116" s="68" t="n">
        <x:v>41</x:v>
      </x:c>
      <x:c r="K116" s="73" t="n">
        <x:f>MAX(1,VLOOKUP(B116,'Parametri Modello'!$A$4:$H$7,2,FALSE)+VLOOKUP(B116,'Parametri Modello'!$A$4:$H$7,3,FALSE)*J116)</x:f>
        <x:v>11.519986217396067</x:v>
      </x:c>
      <x:c r="L116" s="73" t="n">
        <x:f>F116-K116</x:f>
        <x:v>1.4800137826039332</x:v>
      </x:c>
      <x:c r="M116" s="75" t="n">
        <x:f>F116/K116</x:f>
        <x:v>1.1284735723354424</x:v>
      </x:c>
      <x:c r="N116" s="75" t="n">
        <x:f>F116/G116</x:f>
        <x:v>0.9285714285714286</x:v>
      </x:c>
      <x:c r="O116" s="68" t="n">
        <x:v>2</x:v>
      </x:c>
      <x:c r="P116" s="68" t="str">
        <x:v>Centrocampisti</x:v>
      </x:c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>
      <x:c r="A117" s="68" t="n">
        <x:v>6831</x:v>
      </x:c>
      <x:c r="B117" s="68" t="str">
        <x:v>C</x:v>
      </x:c>
      <x:c r="C117" s="68" t="str">
        <x:v>Neres</x:v>
      </x:c>
      <x:c r="D117" s="68" t="str">
        <x:v>Napoli</x:v>
      </x:c>
      <x:c r="E117" s="68" t="str">
        <x:v>Andre</x:v>
      </x:c>
      <x:c r="F117" s="68" t="n">
        <x:v>13</x:v>
      </x:c>
      <x:c r="G117" s="68" t="n">
        <x:v>13</x:v>
      </x:c>
      <x:c r="H117" s="68" t="n">
        <x:v>13</x:v>
      </x:c>
      <x:c r="I117" s="68" t="n">
        <x:f>H117-G117</x:f>
        <x:v>0</x:v>
      </x:c>
      <x:c r="J117" s="68" t="n">
        <x:v>30</x:v>
      </x:c>
      <x:c r="K117" s="73" t="n">
        <x:f>MAX(1,VLOOKUP(B117,'Parametri Modello'!$A$4:$H$7,2,FALSE)+VLOOKUP(B117,'Parametri Modello'!$A$4:$H$7,3,FALSE)*J117)</x:f>
        <x:v>7.719834695254516</x:v>
      </x:c>
      <x:c r="L117" s="73" t="n">
        <x:f>F117-K117</x:f>
        <x:v>5.280165304745484</x:v>
      </x:c>
      <x:c r="M117" s="75" t="n">
        <x:f>F117/K117</x:f>
        <x:v>1.6839738819784926</x:v>
      </x:c>
      <x:c r="N117" s="75" t="n">
        <x:f>F117/G117</x:f>
        <x:v>1</x:v>
      </x:c>
      <x:c r="O117" s="68" t="n">
        <x:v>3</x:v>
      </x:c>
      <x:c r="P117" s="68" t="str">
        <x:v>Centrocampisti</x:v>
      </x:c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>
      <x:c r="A118" s="68" t="n">
        <x:v>6106</x:v>
      </x:c>
      <x:c r="B118" s="68" t="str">
        <x:v>C</x:v>
      </x:c>
      <x:c r="C118" s="68" t="str">
        <x:v>Carboni V.</x:v>
      </x:c>
      <x:c r="D118" s="68" t="str">
        <x:v>Genoa</x:v>
      </x:c>
      <x:c r="E118" s="68" t="str">
        <x:v>Andre</x:v>
      </x:c>
      <x:c r="F118" s="68" t="n">
        <x:v>12</x:v>
      </x:c>
      <x:c r="G118" s="68" t="n">
        <x:v>11</x:v>
      </x:c>
      <x:c r="H118" s="68" t="n">
        <x:v>11</x:v>
      </x:c>
      <x:c r="I118" s="68" t="n">
        <x:f>H118-G118</x:f>
        <x:v>0</x:v>
      </x:c>
      <x:c r="J118" s="68" t="n">
        <x:v>29</x:v>
      </x:c>
      <x:c r="K118" s="73" t="n">
        <x:f>MAX(1,VLOOKUP(B118,'Parametri Modello'!$A$4:$H$7,2,FALSE)+VLOOKUP(B118,'Parametri Modello'!$A$4:$H$7,3,FALSE)*J118)</x:f>
        <x:v>7.374366375059829</x:v>
      </x:c>
      <x:c r="L118" s="73" t="n">
        <x:f>F118-K118</x:f>
        <x:v>4.625633624940171</x:v>
      </x:c>
      <x:c r="M118" s="75" t="n">
        <x:f>F118/K118</x:f>
        <x:v>1.6272584503780696</x:v>
      </x:c>
      <x:c r="N118" s="75" t="n">
        <x:f>F118/G118</x:f>
        <x:v>1.0909090909090908</x:v>
      </x:c>
      <x:c r="O118" s="68" t="n">
        <x:v>3</x:v>
      </x:c>
      <x:c r="P118" s="68" t="str">
        <x:v>Centrocampisti</x:v>
      </x:c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>
      <x:c r="A119" s="68" t="n">
        <x:v>5687</x:v>
      </x:c>
      <x:c r="B119" s="68" t="str">
        <x:v>C</x:v>
      </x:c>
      <x:c r="C119" s="68" t="str">
        <x:v>Vlasic</x:v>
      </x:c>
      <x:c r="D119" s="68" t="str">
        <x:v>Torino</x:v>
      </x:c>
      <x:c r="E119" s="68" t="str">
        <x:v>Alessio</x:v>
      </x:c>
      <x:c r="F119" s="68" t="n">
        <x:v>11</x:v>
      </x:c>
      <x:c r="G119" s="68" t="n">
        <x:v>15</x:v>
      </x:c>
      <x:c r="H119" s="68" t="n">
        <x:v>14</x:v>
      </x:c>
      <x:c r="I119" s="68" t="n">
        <x:f>H119-G119</x:f>
        <x:v>-1</x:v>
      </x:c>
      <x:c r="J119" s="68" t="n">
        <x:v>39</x:v>
      </x:c>
      <x:c r="K119" s="73" t="n">
        <x:f>MAX(1,VLOOKUP(B119,'Parametri Modello'!$A$4:$H$7,2,FALSE)+VLOOKUP(B119,'Parametri Modello'!$A$4:$H$7,3,FALSE)*J119)</x:f>
        <x:v>10.829049577006694</x:v>
      </x:c>
      <x:c r="L119" s="73" t="n">
        <x:f>F119-K119</x:f>
        <x:v>0.17095042299330565</x:v>
      </x:c>
      <x:c r="M119" s="75" t="n">
        <x:f>F119/K119</x:f>
        <x:v>1.0157862813146856</x:v>
      </x:c>
      <x:c r="N119" s="75" t="n">
        <x:f>F119/G119</x:f>
        <x:v>0.7333333333333333</x:v>
      </x:c>
      <x:c r="O119" s="68" t="n">
        <x:v>2</x:v>
      </x:c>
      <x:c r="P119" s="68" t="str">
        <x:v>Centrocampisti</x:v>
      </x:c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>
      <x:c r="A120" s="68" t="n">
        <x:v>5858</x:v>
      </x:c>
      <x:c r="B120" s="68" t="str">
        <x:v>C</x:v>
      </x:c>
      <x:c r="C120" s="68" t="str">
        <x:v>Ferguson</x:v>
      </x:c>
      <x:c r="D120" s="68" t="str">
        <x:v>Bologna</x:v>
      </x:c>
      <x:c r="E120" s="68" t="str">
        <x:v>IO</x:v>
      </x:c>
      <x:c r="F120" s="68" t="n">
        <x:v>10</x:v>
      </x:c>
      <x:c r="G120" s="68" t="n">
        <x:v>11</x:v>
      </x:c>
      <x:c r="H120" s="68" t="n">
        <x:v>10</x:v>
      </x:c>
      <x:c r="I120" s="68" t="n">
        <x:f>H120-G120</x:f>
        <x:v>-1</x:v>
      </x:c>
      <x:c r="J120" s="68" t="n">
        <x:v>23</x:v>
      </x:c>
      <x:c r="K120" s="73" t="n">
        <x:f>MAX(1,VLOOKUP(B120,'Parametri Modello'!$A$4:$H$7,2,FALSE)+VLOOKUP(B120,'Parametri Modello'!$A$4:$H$7,3,FALSE)*J120)</x:f>
        <x:v>5.30155645389171</x:v>
      </x:c>
      <x:c r="L120" s="73" t="n">
        <x:f>F120-K120</x:f>
        <x:v>4.69844354610829</x:v>
      </x:c>
      <x:c r="M120" s="75" t="n">
        <x:f>F120/K120</x:f>
        <x:v>1.8862385201348384</x:v>
      </x:c>
      <x:c r="N120" s="75" t="n">
        <x:f>F120/G120</x:f>
        <x:v>0.9090909090909091</x:v>
      </x:c>
      <x:c r="O120" s="68" t="n">
        <x:v>4</x:v>
      </x:c>
      <x:c r="P120" s="68" t="str">
        <x:v>Centrocampisti</x:v>
      </x:c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>
      <x:c r="A121" s="68" t="n">
        <x:v>5685</x:v>
      </x:c>
      <x:c r="B121" s="68" t="str">
        <x:v>C</x:v>
      </x:c>
      <x:c r="C121" s="68" t="str">
        <x:v>Koopmeiners</x:v>
      </x:c>
      <x:c r="D121" s="68" t="str">
        <x:v>Juventus</x:v>
      </x:c>
      <x:c r="E121" s="68" t="str">
        <x:v>Cri</x:v>
      </x:c>
      <x:c r="F121" s="68" t="n">
        <x:v>10</x:v>
      </x:c>
      <x:c r="G121" s="68" t="n">
        <x:v>14</x:v>
      </x:c>
      <x:c r="H121" s="68" t="n">
        <x:v>14</x:v>
      </x:c>
      <x:c r="I121" s="68" t="n">
        <x:f>H121-G121</x:f>
        <x:v>0</x:v>
      </x:c>
      <x:c r="J121" s="68" t="n">
        <x:v>35</x:v>
      </x:c>
      <x:c r="K121" s="73" t="n">
        <x:f>MAX(1,VLOOKUP(B121,'Parametri Modello'!$A$4:$H$7,2,FALSE)+VLOOKUP(B121,'Parametri Modello'!$A$4:$H$7,3,FALSE)*J121)</x:f>
        <x:v>9.447176296227948</x:v>
      </x:c>
      <x:c r="L121" s="73" t="n">
        <x:f>F121-K121</x:f>
        <x:v>0.5528237037720523</x:v>
      </x:c>
      <x:c r="M121" s="75" t="n">
        <x:f>F121/K121</x:f>
        <x:v>1.0585173480876802</x:v>
      </x:c>
      <x:c r="N121" s="75" t="n">
        <x:f>F121/G121</x:f>
        <x:v>0.7142857142857143</x:v>
      </x:c>
      <x:c r="O121" s="68" t="n">
        <x:v>2</x:v>
      </x:c>
      <x:c r="P121" s="68" t="str">
        <x:v>Centrocampisti</x:v>
      </x:c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>
      <x:c r="A122" s="68" t="n">
        <x:v>5761</x:v>
      </x:c>
      <x:c r="B122" s="68" t="str">
        <x:v>C</x:v>
      </x:c>
      <x:c r="C122" s="68" t="str">
        <x:v>Zhegrova</x:v>
      </x:c>
      <x:c r="D122" s="68" t="str">
        <x:v>Juventus</x:v>
      </x:c>
      <x:c r="E122" s="68" t="str">
        <x:v>Simo Q</x:v>
      </x:c>
      <x:c r="F122" s="68" t="n">
        <x:v>10</x:v>
      </x:c>
      <x:c r="G122" s="68" t="n">
        <x:v>19</x:v>
      </x:c>
      <x:c r="H122" s="68" t="n">
        <x:v>19</x:v>
      </x:c>
      <x:c r="I122" s="68" t="n">
        <x:f>H122-G122</x:f>
        <x:v>0</x:v>
      </x:c>
      <x:c r="J122" s="68" t="n">
        <x:v>80</x:v>
      </x:c>
      <x:c r="K122" s="73" t="n">
        <x:f>MAX(1,VLOOKUP(B122,'Parametri Modello'!$A$4:$H$7,2,FALSE)+VLOOKUP(B122,'Parametri Modello'!$A$4:$H$7,3,FALSE)*J122)</x:f>
        <x:v>24.99325070498884</x:v>
      </x:c>
      <x:c r="L122" s="73" t="n">
        <x:f>F122-K122</x:f>
        <x:v>-14.993250704988839</x:v>
      </x:c>
      <x:c r="M122" s="75" t="n">
        <x:f>F122/K122</x:f>
        <x:v>0.40010801788196065</x:v>
      </x:c>
      <x:c r="N122" s="75" t="n">
        <x:f>F122/G122</x:f>
        <x:v>0.5263157894736842</x:v>
      </x:c>
      <x:c r="O122" s="68" t="n">
        <x:v>1</x:v>
      </x:c>
      <x:c r="P122" s="68" t="str">
        <x:v>Centrocampisti</x:v>
      </x:c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>
      <x:c r="A123" s="68" t="n">
        <x:v>22</x:v>
      </x:c>
      <x:c r="B123" s="68" t="str">
        <x:v>C</x:v>
      </x:c>
      <x:c r="C123" s="68" t="str">
        <x:v>De Roon</x:v>
      </x:c>
      <x:c r="D123" s="68" t="str">
        <x:v>Atalanta</x:v>
      </x:c>
      <x:c r="E123" s="68" t="str">
        <x:v>Cri</x:v>
      </x:c>
      <x:c r="F123" s="68" t="n">
        <x:v>9</x:v>
      </x:c>
      <x:c r="G123" s="68" t="n">
        <x:v>12</x:v>
      </x:c>
      <x:c r="H123" s="68" t="n">
        <x:v>12</x:v>
      </x:c>
      <x:c r="I123" s="68" t="n">
        <x:f>H123-G123</x:f>
        <x:v>0</x:v>
      </x:c>
      <x:c r="J123" s="68" t="n">
        <x:v>32</x:v>
      </x:c>
      <x:c r="K123" s="73" t="n">
        <x:f>MAX(1,VLOOKUP(B123,'Parametri Modello'!$A$4:$H$7,2,FALSE)+VLOOKUP(B123,'Parametri Modello'!$A$4:$H$7,3,FALSE)*J123)</x:f>
        <x:v>8.410771335643888</x:v>
      </x:c>
      <x:c r="L123" s="73" t="n">
        <x:f>F123-K123</x:f>
        <x:v>0.5892286643561118</x:v>
      </x:c>
      <x:c r="M123" s="75" t="n">
        <x:f>F123/K123</x:f>
        <x:v>1.0700564360677634</x:v>
      </x:c>
      <x:c r="N123" s="75" t="n">
        <x:f>F123/G123</x:f>
        <x:v>0.75</x:v>
      </x:c>
      <x:c r="O123" s="68" t="n">
        <x:v>3</x:v>
      </x:c>
      <x:c r="P123" s="68" t="str">
        <x:v>Centrocampisti</x:v>
      </x:c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>
      <x:c r="A124" s="68" t="n">
        <x:v>795</x:v>
      </x:c>
      <x:c r="B124" s="68" t="str">
        <x:v>C</x:v>
      </x:c>
      <x:c r="C124" s="68" t="str">
        <x:v>El Shaarawy</x:v>
      </x:c>
      <x:c r="D124" s="68" t="str">
        <x:v>Roma</x:v>
      </x:c>
      <x:c r="E124" s="68" t="str">
        <x:v>Alessio</x:v>
      </x:c>
      <x:c r="F124" s="68" t="n">
        <x:v>9</x:v>
      </x:c>
      <x:c r="G124" s="68" t="n">
        <x:v>8</x:v>
      </x:c>
      <x:c r="H124" s="68" t="n">
        <x:v>8</x:v>
      </x:c>
      <x:c r="I124" s="68" t="n">
        <x:f>H124-G124</x:f>
        <x:v>0</x:v>
      </x:c>
      <x:c r="J124" s="68" t="n">
        <x:v>19</x:v>
      </x:c>
      <x:c r="K124" s="73" t="n">
        <x:f>MAX(1,VLOOKUP(B124,'Parametri Modello'!$A$4:$H$7,2,FALSE)+VLOOKUP(B124,'Parametri Modello'!$A$4:$H$7,3,FALSE)*J124)</x:f>
        <x:v>3.919683173112964</x:v>
      </x:c>
      <x:c r="L124" s="73" t="n">
        <x:f>F124-K124</x:f>
        <x:v>5.080316826887036</x:v>
      </x:c>
      <x:c r="M124" s="75" t="n">
        <x:f>F124/K124</x:f>
        <x:v>2.2961039457820034</x:v>
      </x:c>
      <x:c r="N124" s="75" t="n">
        <x:f>F124/G124</x:f>
        <x:v>1.125</x:v>
      </x:c>
      <x:c r="O124" s="68" t="n">
        <x:v>4</x:v>
      </x:c>
      <x:c r="P124" s="68" t="str">
        <x:v>Centrocampisti</x:v>
      </x:c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>
      <x:c r="A125" s="68" t="n">
        <x:v>6398</x:v>
      </x:c>
      <x:c r="B125" s="68" t="str">
        <x:v>C</x:v>
      </x:c>
      <x:c r="C125" s="68" t="str">
        <x:v>Isaksen</x:v>
      </x:c>
      <x:c r="D125" s="68" t="str">
        <x:v>Lazio</x:v>
      </x:c>
      <x:c r="E125" s="68" t="str">
        <x:v>Cri</x:v>
      </x:c>
      <x:c r="F125" s="68" t="n">
        <x:v>9</x:v>
      </x:c>
      <x:c r="G125" s="68" t="n">
        <x:v>14</x:v>
      </x:c>
      <x:c r="H125" s="68" t="n">
        <x:v>13</x:v>
      </x:c>
      <x:c r="I125" s="68" t="n">
        <x:f>H125-G125</x:f>
        <x:v>-1</x:v>
      </x:c>
      <x:c r="J125" s="68" t="n">
        <x:v>38</x:v>
      </x:c>
      <x:c r="K125" s="73" t="n">
        <x:f>MAX(1,VLOOKUP(B125,'Parametri Modello'!$A$4:$H$7,2,FALSE)+VLOOKUP(B125,'Parametri Modello'!$A$4:$H$7,3,FALSE)*J125)</x:f>
        <x:v>10.483581256812007</x:v>
      </x:c>
      <x:c r="L125" s="73" t="n">
        <x:f>F125-K125</x:f>
        <x:v>-1.4835812568120073</x:v>
      </x:c>
      <x:c r="M125" s="75" t="n">
        <x:f>F125/K125</x:f>
        <x:v>0.8584852618137521</x:v>
      </x:c>
      <x:c r="N125" s="75" t="n">
        <x:f>F125/G125</x:f>
        <x:v>0.6428571428571429</x:v>
      </x:c>
      <x:c r="O125" s="68" t="n">
        <x:v>2</x:v>
      </x:c>
      <x:c r="P125" s="68" t="str">
        <x:v>Centrocampisti</x:v>
      </x:c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>
      <x:c r="A126" s="68" t="n">
        <x:v>7146</x:v>
      </x:c>
      <x:c r="B126" s="68" t="str">
        <x:v>C</x:v>
      </x:c>
      <x:c r="C126" s="68" t="str">
        <x:v>Tourè I.</x:v>
      </x:c>
      <x:c r="D126" s="68" t="str">
        <x:v>Pisa</x:v>
      </x:c>
      <x:c r="E126" s="68" t="str">
        <x:v>Andre</x:v>
      </x:c>
      <x:c r="F126" s="68" t="n">
        <x:v>9</x:v>
      </x:c>
      <x:c r="G126" s="68" t="n">
        <x:v>6</x:v>
      </x:c>
      <x:c r="H126" s="68" t="n">
        <x:v>7</x:v>
      </x:c>
      <x:c r="I126" s="68" t="n">
        <x:f>H126-G126</x:f>
        <x:v>1</x:v>
      </x:c>
      <x:c r="J126" s="68" t="n">
        <x:v>23</x:v>
      </x:c>
      <x:c r="K126" s="73" t="n">
        <x:f>MAX(1,VLOOKUP(B126,'Parametri Modello'!$A$4:$H$7,2,FALSE)+VLOOKUP(B126,'Parametri Modello'!$A$4:$H$7,3,FALSE)*J126)</x:f>
        <x:v>5.30155645389171</x:v>
      </x:c>
      <x:c r="L126" s="73" t="n">
        <x:f>F126-K126</x:f>
        <x:v>3.6984435461082903</x:v>
      </x:c>
      <x:c r="M126" s="75" t="n">
        <x:f>F126/K126</x:f>
        <x:v>1.6976146681213546</x:v>
      </x:c>
      <x:c r="N126" s="75" t="n">
        <x:f>F126/G126</x:f>
        <x:v>1.5</x:v>
      </x:c>
      <x:c r="O126" s="68" t="n">
        <x:v>4</x:v>
      </x:c>
      <x:c r="P126" s="68" t="str">
        <x:v>Centrocampisti</x:v>
      </x:c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>
      <x:c r="A127" s="68" t="n">
        <x:v>6844</x:v>
      </x:c>
      <x:c r="B127" s="68" t="str">
        <x:v>C</x:v>
      </x:c>
      <x:c r="C127" s="68" t="str">
        <x:v>Rowe</x:v>
      </x:c>
      <x:c r="D127" s="68" t="str">
        <x:v>Bologna</x:v>
      </x:c>
      <x:c r="E127" s="68" t="str">
        <x:v>Marco</x:v>
      </x:c>
      <x:c r="F127" s="68" t="n">
        <x:v>8</x:v>
      </x:c>
      <x:c r="G127" s="68" t="n">
        <x:v>14</x:v>
      </x:c>
      <x:c r="H127" s="68" t="n">
        <x:v>14</x:v>
      </x:c>
      <x:c r="I127" s="68" t="n">
        <x:f>H127-G127</x:f>
        <x:v>0</x:v>
      </x:c>
      <x:c r="J127" s="68" t="n">
        <x:v>49</x:v>
      </x:c>
      <x:c r="K127" s="73" t="n">
        <x:f>MAX(1,VLOOKUP(B127,'Parametri Modello'!$A$4:$H$7,2,FALSE)+VLOOKUP(B127,'Parametri Modello'!$A$4:$H$7,3,FALSE)*J127)</x:f>
        <x:v>14.28373277895356</x:v>
      </x:c>
      <x:c r="L127" s="73" t="n">
        <x:f>F127-K127</x:f>
        <x:v>-6.28373277895356</x:v>
      </x:c>
      <x:c r="M127" s="75" t="n">
        <x:f>F127/K127</x:f>
        <x:v>0.5600776858404717</x:v>
      </x:c>
      <x:c r="N127" s="75" t="n">
        <x:f>F127/G127</x:f>
        <x:v>0.5714285714285714</x:v>
      </x:c>
      <x:c r="O127" s="68" t="n">
        <x:v>2</x:v>
      </x:c>
      <x:c r="P127" s="68" t="str">
        <x:v>Centrocampisti</x:v>
      </x:c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>
      <x:c r="A128" s="68" t="n">
        <x:v>7070</x:v>
      </x:c>
      <x:c r="B128" s="68" t="str">
        <x:v>C</x:v>
      </x:c>
      <x:c r="C128" s="68" t="str">
        <x:v>Sucic P.</x:v>
      </x:c>
      <x:c r="D128" s="68" t="str">
        <x:v>Inter</x:v>
      </x:c>
      <x:c r="E128" s="68" t="str">
        <x:v>Nicola</x:v>
      </x:c>
      <x:c r="F128" s="68" t="n">
        <x:v>8</x:v>
      </x:c>
      <x:c r="G128" s="68" t="n">
        <x:v>9</x:v>
      </x:c>
      <x:c r="H128" s="68" t="n">
        <x:v>9</x:v>
      </x:c>
      <x:c r="I128" s="68" t="n">
        <x:f>H128-G128</x:f>
        <x:v>0</x:v>
      </x:c>
      <x:c r="J128" s="68" t="n">
        <x:v>26</x:v>
      </x:c>
      <x:c r="K128" s="73" t="n">
        <x:f>MAX(1,VLOOKUP(B128,'Parametri Modello'!$A$4:$H$7,2,FALSE)+VLOOKUP(B128,'Parametri Modello'!$A$4:$H$7,3,FALSE)*J128)</x:f>
        <x:v>6.337961414475769</x:v>
      </x:c>
      <x:c r="L128" s="73" t="n">
        <x:f>F128-K128</x:f>
        <x:v>1.6620385855242308</x:v>
      </x:c>
      <x:c r="M128" s="75" t="n">
        <x:f>F128/K128</x:f>
        <x:v>1.2622355165697554</x:v>
      </x:c>
      <x:c r="N128" s="75" t="n">
        <x:f>F128/G128</x:f>
        <x:v>0.8888888888888888</x:v>
      </x:c>
      <x:c r="O128" s="68" t="n">
        <x:v>3</x:v>
      </x:c>
      <x:c r="P128" s="68" t="str">
        <x:v>Centrocampisti</x:v>
      </x:c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>
      <x:c r="A129" s="68" t="n">
        <x:v>6271</x:v>
      </x:c>
      <x:c r="B129" s="68" t="str">
        <x:v>C</x:v>
      </x:c>
      <x:c r="C129" s="68" t="str">
        <x:v>El Aynaoui</x:v>
      </x:c>
      <x:c r="D129" s="68" t="str">
        <x:v>Roma</x:v>
      </x:c>
      <x:c r="E129" s="68" t="str">
        <x:v>Andre</x:v>
      </x:c>
      <x:c r="F129" s="68" t="n">
        <x:v>7</x:v>
      </x:c>
      <x:c r="G129" s="68" t="n">
        <x:v>9</x:v>
      </x:c>
      <x:c r="H129" s="68" t="n">
        <x:v>9</x:v>
      </x:c>
      <x:c r="I129" s="68" t="n">
        <x:f>H129-G129</x:f>
        <x:v>0</x:v>
      </x:c>
      <x:c r="J129" s="68" t="n">
        <x:v>22</x:v>
      </x:c>
      <x:c r="K129" s="73" t="n">
        <x:f>MAX(1,VLOOKUP(B129,'Parametri Modello'!$A$4:$H$7,2,FALSE)+VLOOKUP(B129,'Parametri Modello'!$A$4:$H$7,3,FALSE)*J129)</x:f>
        <x:v>4.9560881336970235</x:v>
      </x:c>
      <x:c r="L129" s="73" t="n">
        <x:f>F129-K129</x:f>
        <x:v>2.0439118663029765</x:v>
      </x:c>
      <x:c r="M129" s="75" t="n">
        <x:f>F129/K129</x:f>
        <x:v>1.4124042614186338</x:v>
      </x:c>
      <x:c r="N129" s="75" t="n">
        <x:f>F129/G129</x:f>
        <x:v>0.7777777777777778</x:v>
      </x:c>
      <x:c r="O129" s="68" t="n">
        <x:v>4</x:v>
      </x:c>
      <x:c r="P129" s="68" t="str">
        <x:v>Centrocampisti</x:v>
      </x:c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>
      <x:c r="A130" s="68" t="n">
        <x:v>2077</x:v>
      </x:c>
      <x:c r="B130" s="68" t="str">
        <x:v>C</x:v>
      </x:c>
      <x:c r="C130" s="68" t="str">
        <x:v>Pasalic</x:v>
      </x:c>
      <x:c r="D130" s="68" t="str">
        <x:v>Atalanta</x:v>
      </x:c>
      <x:c r="E130" s="68" t="str">
        <x:v>Carlo</x:v>
      </x:c>
      <x:c r="F130" s="68" t="n">
        <x:v>7</x:v>
      </x:c>
      <x:c r="G130" s="68" t="n">
        <x:v>9</x:v>
      </x:c>
      <x:c r="H130" s="68" t="n">
        <x:v>11</x:v>
      </x:c>
      <x:c r="I130" s="68" t="n">
        <x:f>H130-G130</x:f>
        <x:v>2</x:v>
      </x:c>
      <x:c r="J130" s="68" t="n">
        <x:v>28</x:v>
      </x:c>
      <x:c r="K130" s="73" t="n">
        <x:f>MAX(1,VLOOKUP(B130,'Parametri Modello'!$A$4:$H$7,2,FALSE)+VLOOKUP(B130,'Parametri Modello'!$A$4:$H$7,3,FALSE)*J130)</x:f>
        <x:v>7.028898054865142</x:v>
      </x:c>
      <x:c r="L130" s="73" t="n">
        <x:f>F130-K130</x:f>
        <x:v>-0.02889805486514163</x:v>
      </x:c>
      <x:c r="M130" s="75" t="n">
        <x:f>F130/K130</x:f>
        <x:v>0.9958886791870399</x:v>
      </x:c>
      <x:c r="N130" s="75" t="n">
        <x:f>F130/G130</x:f>
        <x:v>0.7777777777777778</x:v>
      </x:c>
      <x:c r="O130" s="68" t="n">
        <x:v>3</x:v>
      </x:c>
      <x:c r="P130" s="68" t="str">
        <x:v>Centrocampisti</x:v>
      </x:c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>
      <x:c r="A131" s="68" t="n">
        <x:v>2529</x:v>
      </x:c>
      <x:c r="B131" s="68" t="str">
        <x:v>C</x:v>
      </x:c>
      <x:c r="C131" s="68" t="str">
        <x:v>Mkhitaryan</x:v>
      </x:c>
      <x:c r="D131" s="68" t="str">
        <x:v>Inter</x:v>
      </x:c>
      <x:c r="E131" s="68" t="str">
        <x:v>Nicola</x:v>
      </x:c>
      <x:c r="F131" s="68" t="n">
        <x:v>6</x:v>
      </x:c>
      <x:c r="G131" s="68" t="n">
        <x:v>9</x:v>
      </x:c>
      <x:c r="H131" s="68" t="n">
        <x:v>9</x:v>
      </x:c>
      <x:c r="I131" s="68" t="n">
        <x:f>H131-G131</x:f>
        <x:v>0</x:v>
      </x:c>
      <x:c r="J131" s="68" t="n">
        <x:v>35</x:v>
      </x:c>
      <x:c r="K131" s="73" t="n">
        <x:f>MAX(1,VLOOKUP(B131,'Parametri Modello'!$A$4:$H$7,2,FALSE)+VLOOKUP(B131,'Parametri Modello'!$A$4:$H$7,3,FALSE)*J131)</x:f>
        <x:v>9.447176296227948</x:v>
      </x:c>
      <x:c r="L131" s="73" t="n">
        <x:f>F131-K131</x:f>
        <x:v>-3.4471762962279477</x:v>
      </x:c>
      <x:c r="M131" s="75" t="n">
        <x:f>F131/K131</x:f>
        <x:v>0.6351104088526082</x:v>
      </x:c>
      <x:c r="N131" s="75" t="n">
        <x:f>F131/G131</x:f>
        <x:v>0.6666666666666666</x:v>
      </x:c>
      <x:c r="O131" s="68" t="n">
        <x:v>2</x:v>
      </x:c>
      <x:c r="P131" s="68" t="str">
        <x:v>Centrocampisti</x:v>
      </x:c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>
      <x:c r="A132" s="68" t="n">
        <x:v>5119</x:v>
      </x:c>
      <x:c r="B132" s="68" t="str">
        <x:v>C</x:v>
      </x:c>
      <x:c r="C132" s="68" t="str">
        <x:v>Samardzic</x:v>
      </x:c>
      <x:c r="D132" s="68" t="str">
        <x:v>Atalanta</x:v>
      </x:c>
      <x:c r="E132" s="68" t="str">
        <x:v>IO</x:v>
      </x:c>
      <x:c r="F132" s="68" t="n">
        <x:v>6</x:v>
      </x:c>
      <x:c r="G132" s="68" t="n">
        <x:v>12</x:v>
      </x:c>
      <x:c r="H132" s="68" t="n">
        <x:v>11</x:v>
      </x:c>
      <x:c r="I132" s="68" t="n">
        <x:f>H132-G132</x:f>
        <x:v>-1</x:v>
      </x:c>
      <x:c r="J132" s="68" t="n">
        <x:v>25</x:v>
      </x:c>
      <x:c r="K132" s="73" t="n">
        <x:f>MAX(1,VLOOKUP(B132,'Parametri Modello'!$A$4:$H$7,2,FALSE)+VLOOKUP(B132,'Parametri Modello'!$A$4:$H$7,3,FALSE)*J132)</x:f>
        <x:v>5.992493094281082</x:v>
      </x:c>
      <x:c r="L132" s="73" t="n">
        <x:f>F132-K132</x:f>
        <x:v>0.007506905718917878</x:v>
      </x:c>
      <x:c r="M132" s="75" t="n">
        <x:f>F132/K132</x:f>
        <x:v>1.001252718292839</x:v>
      </x:c>
      <x:c r="N132" s="75" t="n">
        <x:f>F132/G132</x:f>
        <x:v>0.5</x:v>
      </x:c>
      <x:c r="O132" s="68" t="n">
        <x:v>3</x:v>
      </x:c>
      <x:c r="P132" s="68" t="str">
        <x:v>Centrocampisti</x:v>
      </x:c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>
      <x:c r="A133" s="68" t="n">
        <x:v>7133</x:v>
      </x:c>
      <x:c r="B133" s="68" t="str">
        <x:v>C</x:v>
      </x:c>
      <x:c r="C133" s="68" t="str">
        <x:v>Vandeputte</x:v>
      </x:c>
      <x:c r="D133" s="68" t="str">
        <x:v>Cremonese</x:v>
      </x:c>
      <x:c r="E133" s="68" t="str">
        <x:v>IO</x:v>
      </x:c>
      <x:c r="F133" s="68" t="n">
        <x:v>6</x:v>
      </x:c>
      <x:c r="G133" s="68" t="n">
        <x:v>12</x:v>
      </x:c>
      <x:c r="H133" s="68" t="n">
        <x:v>13</x:v>
      </x:c>
      <x:c r="I133" s="68" t="n">
        <x:f>H133-G133</x:f>
        <x:v>1</x:v>
      </x:c>
      <x:c r="J133" s="68" t="n">
        <x:v>36</x:v>
      </x:c>
      <x:c r="K133" s="73" t="n">
        <x:f>MAX(1,VLOOKUP(B133,'Parametri Modello'!$A$4:$H$7,2,FALSE)+VLOOKUP(B133,'Parametri Modello'!$A$4:$H$7,3,FALSE)*J133)</x:f>
        <x:v>9.792644616422635</x:v>
      </x:c>
      <x:c r="L133" s="73" t="n">
        <x:f>F133-K133</x:f>
        <x:v>-3.792644616422635</x:v>
      </x:c>
      <x:c r="M133" s="75" t="n">
        <x:f>F133/K133</x:f>
        <x:v>0.6127047631175927</x:v>
      </x:c>
      <x:c r="N133" s="75" t="n">
        <x:f>F133/G133</x:f>
        <x:v>0.5</x:v>
      </x:c>
      <x:c r="O133" s="68" t="n">
        <x:v>2</x:v>
      </x:c>
      <x:c r="P133" s="68" t="str">
        <x:v>Centrocampisti</x:v>
      </x:c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>
      <x:c r="A134" s="68" t="n">
        <x:v>5453</x:v>
      </x:c>
      <x:c r="B134" s="68" t="str">
        <x:v>C</x:v>
      </x:c>
      <x:c r="C134" s="68" t="str">
        <x:v>Ricci S.</x:v>
      </x:c>
      <x:c r="D134" s="68" t="str">
        <x:v>Milan</x:v>
      </x:c>
      <x:c r="E134" s="68" t="str">
        <x:v>Carlo</x:v>
      </x:c>
      <x:c r="F134" s="68" t="n">
        <x:v>5</x:v>
      </x:c>
      <x:c r="G134" s="68" t="n">
        <x:v>10</x:v>
      </x:c>
      <x:c r="H134" s="68" t="n">
        <x:v>10</x:v>
      </x:c>
      <x:c r="I134" s="68" t="n">
        <x:f>H134-G134</x:f>
        <x:v>0</x:v>
      </x:c>
      <x:c r="J134" s="68" t="n">
        <x:v>22</x:v>
      </x:c>
      <x:c r="K134" s="73" t="n">
        <x:f>MAX(1,VLOOKUP(B134,'Parametri Modello'!$A$4:$H$7,2,FALSE)+VLOOKUP(B134,'Parametri Modello'!$A$4:$H$7,3,FALSE)*J134)</x:f>
        <x:v>4.9560881336970235</x:v>
      </x:c>
      <x:c r="L134" s="73" t="n">
        <x:f>F134-K134</x:f>
        <x:v>0.0439118663029765</x:v>
      </x:c>
      <x:c r="M134" s="75" t="n">
        <x:f>F134/K134</x:f>
        <x:v>1.0088601867275957</x:v>
      </x:c>
      <x:c r="N134" s="75" t="n">
        <x:f>F134/G134</x:f>
        <x:v>0.5</x:v>
      </x:c>
      <x:c r="O134" s="68" t="n">
        <x:v>4</x:v>
      </x:c>
      <x:c r="P134" s="68" t="str">
        <x:v>Centrocampisti</x:v>
      </x:c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>
      <x:c r="A135" s="68" t="n">
        <x:v>2848</x:v>
      </x:c>
      <x:c r="B135" s="68" t="str">
        <x:v>C</x:v>
      </x:c>
      <x:c r="C135" s="68" t="str">
        <x:v>Frattesi</x:v>
      </x:c>
      <x:c r="D135" s="68" t="str">
        <x:v>Inter</x:v>
      </x:c>
      <x:c r="E135" s="68" t="str">
        <x:v>Andre</x:v>
      </x:c>
      <x:c r="F135" s="68" t="n">
        <x:v>4</x:v>
      </x:c>
      <x:c r="G135" s="68" t="n">
        <x:v>14</x:v>
      </x:c>
      <x:c r="H135" s="68" t="n">
        <x:v>13</x:v>
      </x:c>
      <x:c r="I135" s="68" t="n">
        <x:f>H135-G135</x:f>
        <x:v>-1</x:v>
      </x:c>
      <x:c r="J135" s="68" t="n">
        <x:v>37</x:v>
      </x:c>
      <x:c r="K135" s="73" t="n">
        <x:f>MAX(1,VLOOKUP(B135,'Parametri Modello'!$A$4:$H$7,2,FALSE)+VLOOKUP(B135,'Parametri Modello'!$A$4:$H$7,3,FALSE)*J135)</x:f>
        <x:v>10.13811293661732</x:v>
      </x:c>
      <x:c r="L135" s="73" t="n">
        <x:f>F135-K135</x:f>
        <x:v>-6.13811293661732</x:v>
      </x:c>
      <x:c r="M135" s="75" t="n">
        <x:f>F135/K135</x:f>
        <x:v>0.39455074381274735</x:v>
      </x:c>
      <x:c r="N135" s="75" t="n">
        <x:f>F135/G135</x:f>
        <x:v>0.2857142857142857</x:v>
      </x:c>
      <x:c r="O135" s="68" t="n">
        <x:v>2</x:v>
      </x:c>
      <x:c r="P135" s="68" t="str">
        <x:v>Centrocampisti</x:v>
      </x:c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>
      <x:c r="A136" s="68" t="n">
        <x:v>449</x:v>
      </x:c>
      <x:c r="B136" s="68" t="str">
        <x:v>C</x:v>
      </x:c>
      <x:c r="C136" s="68" t="str">
        <x:v>Vazquez</x:v>
      </x:c>
      <x:c r="D136" s="68" t="str">
        <x:v>Cremonese</x:v>
      </x:c>
      <x:c r="E136" s="68" t="str">
        <x:v>Cri</x:v>
      </x:c>
      <x:c r="F136" s="68" t="n">
        <x:v>4</x:v>
      </x:c>
      <x:c r="G136" s="68" t="n">
        <x:v>10</x:v>
      </x:c>
      <x:c r="H136" s="68" t="n">
        <x:v>11</x:v>
      </x:c>
      <x:c r="I136" s="68" t="n">
        <x:f>H136-G136</x:f>
        <x:v>1</x:v>
      </x:c>
      <x:c r="J136" s="68" t="n">
        <x:v>24</x:v>
      </x:c>
      <x:c r="K136" s="73" t="n">
        <x:f>MAX(1,VLOOKUP(B136,'Parametri Modello'!$A$4:$H$7,2,FALSE)+VLOOKUP(B136,'Parametri Modello'!$A$4:$H$7,3,FALSE)*J136)</x:f>
        <x:v>5.647024774086397</x:v>
      </x:c>
      <x:c r="L136" s="73" t="n">
        <x:f>F136-K136</x:f>
        <x:v>-1.6470247740863968</x:v>
      </x:c>
      <x:c r="M136" s="75" t="n">
        <x:f>F136/K136</x:f>
        <x:v>0.7083376043178665</x:v>
      </x:c>
      <x:c r="N136" s="75" t="n">
        <x:f>F136/G136</x:f>
        <x:v>0.4</x:v>
      </x:c>
      <x:c r="O136" s="68" t="n">
        <x:v>4</x:v>
      </x:c>
      <x:c r="P136" s="68" t="str">
        <x:v>Centrocampisti</x:v>
      </x:c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>
      <x:c r="A137" s="68" t="n">
        <x:v>827</x:v>
      </x:c>
      <x:c r="B137" s="68" t="str">
        <x:v>C</x:v>
      </x:c>
      <x:c r="C137" s="68" t="str">
        <x:v>Locatelli</x:v>
      </x:c>
      <x:c r="D137" s="68" t="str">
        <x:v>Juventus</x:v>
      </x:c>
      <x:c r="E137" s="68" t="str">
        <x:v>Cri</x:v>
      </x:c>
      <x:c r="F137" s="68" t="n">
        <x:v>3</x:v>
      </x:c>
      <x:c r="G137" s="68" t="n">
        <x:v>12</x:v>
      </x:c>
      <x:c r="H137" s="68" t="n">
        <x:v>13</x:v>
      </x:c>
      <x:c r="I137" s="68" t="n">
        <x:f>H137-G137</x:f>
        <x:v>1</x:v>
      </x:c>
      <x:c r="J137" s="68" t="n">
        <x:v>50</x:v>
      </x:c>
      <x:c r="K137" s="73" t="n">
        <x:f>MAX(1,VLOOKUP(B137,'Parametri Modello'!$A$4:$H$7,2,FALSE)+VLOOKUP(B137,'Parametri Modello'!$A$4:$H$7,3,FALSE)*J137)</x:f>
        <x:v>14.629201099148244</x:v>
      </x:c>
      <x:c r="L137" s="73" t="n">
        <x:f>F137-K137</x:f>
        <x:v>-11.629201099148244</x:v>
      </x:c>
      <x:c r="M137" s="75" t="n">
        <x:f>F137/K137</x:f>
        <x:v>0.205069298020291</x:v>
      </x:c>
      <x:c r="N137" s="75" t="n">
        <x:f>F137/G137</x:f>
        <x:v>0.25</x:v>
      </x:c>
      <x:c r="O137" s="68" t="n">
        <x:v>2</x:v>
      </x:c>
      <x:c r="P137" s="68" t="str">
        <x:v>Centrocampisti</x:v>
      </x:c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>
      <x:c r="A138" s="68" t="n">
        <x:v>5888</x:v>
      </x:c>
      <x:c r="B138" s="68" t="str">
        <x:v>C</x:v>
      </x:c>
      <x:c r="C138" s="68" t="str">
        <x:v>Casadei</x:v>
      </x:c>
      <x:c r="D138" s="68" t="str">
        <x:v>Torino</x:v>
      </x:c>
      <x:c r="E138" s="68" t="str">
        <x:v>Nicola</x:v>
      </x:c>
      <x:c r="F138" s="68" t="n">
        <x:v>2</x:v>
      </x:c>
      <x:c r="G138" s="68" t="n">
        <x:v>12</x:v>
      </x:c>
      <x:c r="H138" s="68" t="n">
        <x:v>12</x:v>
      </x:c>
      <x:c r="I138" s="68" t="n">
        <x:f>H138-G138</x:f>
        <x:v>0</x:v>
      </x:c>
      <x:c r="J138" s="68" t="n">
        <x:v>28</x:v>
      </x:c>
      <x:c r="K138" s="73" t="n">
        <x:f>MAX(1,VLOOKUP(B138,'Parametri Modello'!$A$4:$H$7,2,FALSE)+VLOOKUP(B138,'Parametri Modello'!$A$4:$H$7,3,FALSE)*J138)</x:f>
        <x:v>7.028898054865142</x:v>
      </x:c>
      <x:c r="L138" s="73" t="n">
        <x:f>F138-K138</x:f>
        <x:v>-5.028898054865142</x:v>
      </x:c>
      <x:c r="M138" s="75" t="n">
        <x:f>F138/K138</x:f>
        <x:v>0.28453962262486854</x:v>
      </x:c>
      <x:c r="N138" s="75" t="n">
        <x:f>F138/G138</x:f>
        <x:v>0.16666666666666666</x:v>
      </x:c>
      <x:c r="O138" s="68" t="n">
        <x:v>3</x:v>
      </x:c>
      <x:c r="P138" s="68" t="str">
        <x:v>Centrocampisti</x:v>
      </x:c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>
      <x:c r="A139" s="68" t="n">
        <x:v>6629</x:v>
      </x:c>
      <x:c r="B139" s="68" t="str">
        <x:v>C</x:v>
      </x:c>
      <x:c r="C139" s="68" t="str">
        <x:v>Dele-Bashiru</x:v>
      </x:c>
      <x:c r="D139" s="68" t="str">
        <x:v>Lazio</x:v>
      </x:c>
      <x:c r="E139" s="68" t="str">
        <x:v>Nicola</x:v>
      </x:c>
      <x:c r="F139" s="68" t="n">
        <x:v>2</x:v>
      </x:c>
      <x:c r="G139" s="68" t="n">
        <x:v>11</x:v>
      </x:c>
      <x:c r="H139" s="68" t="n">
        <x:v>11</x:v>
      </x:c>
      <x:c r="I139" s="68" t="n">
        <x:f>H139-G139</x:f>
        <x:v>0</x:v>
      </x:c>
      <x:c r="J139" s="68" t="n">
        <x:v>31</x:v>
      </x:c>
      <x:c r="K139" s="73" t="n">
        <x:f>MAX(1,VLOOKUP(B139,'Parametri Modello'!$A$4:$H$7,2,FALSE)+VLOOKUP(B139,'Parametri Modello'!$A$4:$H$7,3,FALSE)*J139)</x:f>
        <x:v>8.065303015449201</x:v>
      </x:c>
      <x:c r="L139" s="73" t="n">
        <x:f>F139-K139</x:f>
        <x:v>-6.065303015449201</x:v>
      </x:c>
      <x:c r="M139" s="75" t="n">
        <x:f>F139/K139</x:f>
        <x:v>0.2479758040298017</x:v>
      </x:c>
      <x:c r="N139" s="75" t="n">
        <x:f>F139/G139</x:f>
        <x:v>0.18181818181818182</x:v>
      </x:c>
      <x:c r="O139" s="68" t="n">
        <x:v>3</x:v>
      </x:c>
      <x:c r="P139" s="68" t="str">
        <x:v>Centrocampisti</x:v>
      </x:c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>
      <x:c r="A140" s="68" t="n">
        <x:v>6252</x:v>
      </x:c>
      <x:c r="B140" s="68" t="str">
        <x:v>C</x:v>
      </x:c>
      <x:c r="C140" s="68" t="str">
        <x:v>Folorunsho</x:v>
      </x:c>
      <x:c r="D140" s="68" t="str">
        <x:v>Cagliari</x:v>
      </x:c>
      <x:c r="E140" s="68" t="str">
        <x:v>Marco</x:v>
      </x:c>
      <x:c r="F140" s="68" t="n">
        <x:v>2</x:v>
      </x:c>
      <x:c r="G140" s="68" t="n">
        <x:v>9</x:v>
      </x:c>
      <x:c r="H140" s="68" t="n">
        <x:v>9</x:v>
      </x:c>
      <x:c r="I140" s="68" t="n">
        <x:f>H140-G140</x:f>
        <x:v>0</x:v>
      </x:c>
      <x:c r="J140" s="68" t="n">
        <x:v>27</x:v>
      </x:c>
      <x:c r="K140" s="73" t="n">
        <x:f>MAX(1,VLOOKUP(B140,'Parametri Modello'!$A$4:$H$7,2,FALSE)+VLOOKUP(B140,'Parametri Modello'!$A$4:$H$7,3,FALSE)*J140)</x:f>
        <x:v>6.683429734670456</x:v>
      </x:c>
      <x:c r="L140" s="73" t="n">
        <x:f>F140-K140</x:f>
        <x:v>-4.683429734670456</x:v>
      </x:c>
      <x:c r="M140" s="75" t="n">
        <x:f>F140/K140</x:f>
        <x:v>0.2992475539355117</x:v>
      </x:c>
      <x:c r="N140" s="75" t="n">
        <x:f>F140/G140</x:f>
        <x:v>0.2222222222222222</x:v>
      </x:c>
      <x:c r="O140" s="68" t="n">
        <x:v>3</x:v>
      </x:c>
      <x:c r="P140" s="68" t="str">
        <x:v>Centrocampisti</x:v>
      </x:c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>
      <x:c r="A141" s="68" t="n">
        <x:v>6218</x:v>
      </x:c>
      <x:c r="B141" s="68" t="str">
        <x:v>C</x:v>
      </x:c>
      <x:c r="C141" s="68" t="str">
        <x:v>Oristanio</x:v>
      </x:c>
      <x:c r="D141" s="68" t="str">
        <x:v>Parma</x:v>
      </x:c>
      <x:c r="E141" s="68" t="str">
        <x:v>Nicola</x:v>
      </x:c>
      <x:c r="F141" s="68" t="n">
        <x:v>2</x:v>
      </x:c>
      <x:c r="G141" s="68" t="n">
        <x:v>12</x:v>
      </x:c>
      <x:c r="H141" s="68" t="n">
        <x:v>12</x:v>
      </x:c>
      <x:c r="I141" s="68" t="n">
        <x:f>H141-G141</x:f>
        <x:v>0</x:v>
      </x:c>
      <x:c r="J141" s="68" t="n">
        <x:v>38</x:v>
      </x:c>
      <x:c r="K141" s="73" t="n">
        <x:f>MAX(1,VLOOKUP(B141,'Parametri Modello'!$A$4:$H$7,2,FALSE)+VLOOKUP(B141,'Parametri Modello'!$A$4:$H$7,3,FALSE)*J141)</x:f>
        <x:v>10.483581256812007</x:v>
      </x:c>
      <x:c r="L141" s="73" t="n">
        <x:f>F141-K141</x:f>
        <x:v>-8.483581256812007</x:v>
      </x:c>
      <x:c r="M141" s="75" t="n">
        <x:f>F141/K141</x:f>
        <x:v>0.19077450262527823</x:v>
      </x:c>
      <x:c r="N141" s="75" t="n">
        <x:f>F141/G141</x:f>
        <x:v>0.16666666666666666</x:v>
      </x:c>
      <x:c r="O141" s="68" t="n">
        <x:v>2</x:v>
      </x:c>
      <x:c r="P141" s="68" t="str">
        <x:v>Centrocampisti</x:v>
      </x:c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>
      <x:c r="A142" s="68" t="n">
        <x:v>7135</x:v>
      </x:c>
      <x:c r="B142" s="68" t="str">
        <x:v>C</x:v>
      </x:c>
      <x:c r="C142" s="68" t="str">
        <x:v>Stanciu</x:v>
      </x:c>
      <x:c r="D142" s="68" t="str">
        <x:v>Genoa</x:v>
      </x:c>
      <x:c r="E142" s="68" t="str">
        <x:v>Simo Q</x:v>
      </x:c>
      <x:c r="F142" s="68" t="n">
        <x:v>2</x:v>
      </x:c>
      <x:c r="G142" s="68" t="n">
        <x:v>8</x:v>
      </x:c>
      <x:c r="H142" s="68" t="n">
        <x:v>8</x:v>
      </x:c>
      <x:c r="I142" s="68" t="n">
        <x:f>H142-G142</x:f>
        <x:v>0</x:v>
      </x:c>
      <x:c r="J142" s="68" t="n">
        <x:v>26</x:v>
      </x:c>
      <x:c r="K142" s="73" t="n">
        <x:f>MAX(1,VLOOKUP(B142,'Parametri Modello'!$A$4:$H$7,2,FALSE)+VLOOKUP(B142,'Parametri Modello'!$A$4:$H$7,3,FALSE)*J142)</x:f>
        <x:v>6.337961414475769</x:v>
      </x:c>
      <x:c r="L142" s="73" t="n">
        <x:f>F142-K142</x:f>
        <x:v>-4.337961414475769</x:v>
      </x:c>
      <x:c r="M142" s="75" t="n">
        <x:f>F142/K142</x:f>
        <x:v>0.31555887914243885</x:v>
      </x:c>
      <x:c r="N142" s="75" t="n">
        <x:f>F142/G142</x:f>
        <x:v>0.25</x:v>
      </x:c>
      <x:c r="O142" s="68" t="n">
        <x:v>3</x:v>
      </x:c>
      <x:c r="P142" s="68" t="str">
        <x:v>Centrocampisti</x:v>
      </x:c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>
      <x:c r="A143" s="68" t="n">
        <x:v>6684</x:v>
      </x:c>
      <x:c r="B143" s="68" t="str">
        <x:v>C</x:v>
      </x:c>
      <x:c r="C143" s="68" t="str">
        <x:v>Ekkelenkamp</x:v>
      </x:c>
      <x:c r="D143" s="68" t="str">
        <x:v>Udinese</x:v>
      </x:c>
      <x:c r="E143" s="68" t="str">
        <x:v>IO</x:v>
      </x:c>
      <x:c r="F143" s="68" t="n">
        <x:v>1</x:v>
      </x:c>
      <x:c r="G143" s="68" t="n">
        <x:v>10</x:v>
      </x:c>
      <x:c r="H143" s="68" t="n">
        <x:v>10</x:v>
      </x:c>
      <x:c r="I143" s="68" t="n">
        <x:f>H143-G143</x:f>
        <x:v>0</x:v>
      </x:c>
      <x:c r="J143" s="68" t="n">
        <x:v>21</x:v>
      </x:c>
      <x:c r="K143" s="73" t="n">
        <x:f>MAX(1,VLOOKUP(B143,'Parametri Modello'!$A$4:$H$7,2,FALSE)+VLOOKUP(B143,'Parametri Modello'!$A$4:$H$7,3,FALSE)*J143)</x:f>
        <x:v>4.610619813502337</x:v>
      </x:c>
      <x:c r="L143" s="73" t="n">
        <x:f>F143-K143</x:f>
        <x:v>-3.6106198135023373</x:v>
      </x:c>
      <x:c r="M143" s="75" t="n">
        <x:f>F143/K143</x:f>
        <x:v>0.21689057880492993</x:v>
      </x:c>
      <x:c r="N143" s="75" t="n">
        <x:f>F143/G143</x:f>
        <x:v>0.1</x:v>
      </x:c>
      <x:c r="O143" s="68" t="n">
        <x:v>4</x:v>
      </x:c>
      <x:c r="P143" s="68" t="str">
        <x:v>Centrocampisti</x:v>
      </x:c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>
      <x:c r="A144" s="68" t="n">
        <x:v>4479</x:v>
      </x:c>
      <x:c r="B144" s="68" t="str">
        <x:v>C</x:v>
      </x:c>
      <x:c r="C144" s="68" t="str">
        <x:v>Elmas</x:v>
      </x:c>
      <x:c r="D144" s="68" t="str">
        <x:v>Napoli</x:v>
      </x:c>
      <x:c r="E144" s="68" t="str">
        <x:v>Simo Q</x:v>
      </x:c>
      <x:c r="F144" s="68" t="n">
        <x:v>1</x:v>
      </x:c>
      <x:c r="G144" s="68" t="n">
        <x:v>11</x:v>
      </x:c>
      <x:c r="H144" s="68" t="n">
        <x:v>11</x:v>
      </x:c>
      <x:c r="I144" s="68" t="n">
        <x:f>H144-G144</x:f>
        <x:v>0</x:v>
      </x:c>
      <x:c r="J144" s="68" t="n">
        <x:v>25</x:v>
      </x:c>
      <x:c r="K144" s="73" t="n">
        <x:f>MAX(1,VLOOKUP(B144,'Parametri Modello'!$A$4:$H$7,2,FALSE)+VLOOKUP(B144,'Parametri Modello'!$A$4:$H$7,3,FALSE)*J144)</x:f>
        <x:v>5.992493094281082</x:v>
      </x:c>
      <x:c r="L144" s="73" t="n">
        <x:f>F144-K144</x:f>
        <x:v>-4.992493094281082</x:v>
      </x:c>
      <x:c r="M144" s="75" t="n">
        <x:f>F144/K144</x:f>
        <x:v>0.16687545304880652</x:v>
      </x:c>
      <x:c r="N144" s="75" t="n">
        <x:f>F144/G144</x:f>
        <x:v>0.09090909090909091</x:v>
      </x:c>
      <x:c r="O144" s="68" t="n">
        <x:v>3</x:v>
      </x:c>
      <x:c r="P144" s="68" t="str">
        <x:v>Centrocampisti</x:v>
      </x:c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>
      <x:c r="A145" s="68" t="n">
        <x:v>6722</x:v>
      </x:c>
      <x:c r="B145" s="68" t="str">
        <x:v>C</x:v>
      </x:c>
      <x:c r="C145" s="68" t="str">
        <x:v>Gronbaek</x:v>
      </x:c>
      <x:c r="D145" s="68" t="str">
        <x:v>Genoa</x:v>
      </x:c>
      <x:c r="E145" s="68" t="str">
        <x:v>Simo Q</x:v>
      </x:c>
      <x:c r="F145" s="68" t="n">
        <x:v>1</x:v>
      </x:c>
      <x:c r="G145" s="68" t="n">
        <x:v>12</x:v>
      </x:c>
      <x:c r="H145" s="68" t="n">
        <x:v>11</x:v>
      </x:c>
      <x:c r="I145" s="68" t="n">
        <x:f>H145-G145</x:f>
        <x:v>-1</x:v>
      </x:c>
      <x:c r="J145" s="68" t="n">
        <x:v>32</x:v>
      </x:c>
      <x:c r="K145" s="73" t="n">
        <x:f>MAX(1,VLOOKUP(B145,'Parametri Modello'!$A$4:$H$7,2,FALSE)+VLOOKUP(B145,'Parametri Modello'!$A$4:$H$7,3,FALSE)*J145)</x:f>
        <x:v>8.410771335643888</x:v>
      </x:c>
      <x:c r="L145" s="73" t="n">
        <x:f>F145-K145</x:f>
        <x:v>-7.410771335643888</x:v>
      </x:c>
      <x:c r="M145" s="75" t="n">
        <x:f>F145/K145</x:f>
        <x:v>0.1188951595630848</x:v>
      </x:c>
      <x:c r="N145" s="75" t="n">
        <x:f>F145/G145</x:f>
        <x:v>0.08333333333333333</x:v>
      </x:c>
      <x:c r="O145" s="68" t="n">
        <x:v>3</x:v>
      </x:c>
      <x:c r="P145" s="68" t="str">
        <x:v>Centrocampisti</x:v>
      </x:c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>
      <x:c r="A146" s="68" t="n">
        <x:v>5688</x:v>
      </x:c>
      <x:c r="B146" s="68" t="str">
        <x:v>C</x:v>
      </x:c>
      <x:c r="C146" s="68" t="str">
        <x:v>Harroui</x:v>
      </x:c>
      <x:c r="D146" s="68" t="str">
        <x:v>Verona</x:v>
      </x:c>
      <x:c r="E146" s="68" t="str">
        <x:v>Marco</x:v>
      </x:c>
      <x:c r="F146" s="68" t="n">
        <x:v>1</x:v>
      </x:c>
      <x:c r="G146" s="68" t="n">
        <x:v>7</x:v>
      </x:c>
      <x:c r="H146" s="68" t="n">
        <x:v>7</x:v>
      </x:c>
      <x:c r="I146" s="68" t="n">
        <x:f>H146-G146</x:f>
        <x:v>0</x:v>
      </x:c>
      <x:c r="J146" s="68" t="n">
        <x:v>14</x:v>
      </x:c>
      <x:c r="K146" s="73" t="n">
        <x:f>MAX(1,VLOOKUP(B146,'Parametri Modello'!$A$4:$H$7,2,FALSE)+VLOOKUP(B146,'Parametri Modello'!$A$4:$H$7,3,FALSE)*J146)</x:f>
        <x:v>2.192341572139531</x:v>
      </x:c>
      <x:c r="L146" s="73" t="n">
        <x:f>F146-K146</x:f>
        <x:v>-1.1923415721395312</x:v>
      </x:c>
      <x:c r="M146" s="75" t="n">
        <x:f>F146/K146</x:f>
        <x:v>0.45613330181212985</x:v>
      </x:c>
      <x:c r="N146" s="75" t="n">
        <x:f>F146/G146</x:f>
        <x:v>0.14285714285714285</x:v>
      </x:c>
      <x:c r="O146" s="68" t="n">
        <x:v>4</x:v>
      </x:c>
      <x:c r="P146" s="68" t="str">
        <x:v>Centrocampisti</x:v>
      </x:c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>
      <x:c r="A147" s="68" t="n">
        <x:v>4896</x:v>
      </x:c>
      <x:c r="B147" s="68" t="str">
        <x:v>C</x:v>
      </x:c>
      <x:c r="C147" s="68" t="str">
        <x:v>Maldini</x:v>
      </x:c>
      <x:c r="D147" s="68" t="str">
        <x:v>Atalanta</x:v>
      </x:c>
      <x:c r="E147" s="68" t="str">
        <x:v>Marco</x:v>
      </x:c>
      <x:c r="F147" s="68" t="n">
        <x:v>1</x:v>
      </x:c>
      <x:c r="G147" s="68" t="n">
        <x:v>9</x:v>
      </x:c>
      <x:c r="H147" s="68" t="n">
        <x:v>8</x:v>
      </x:c>
      <x:c r="I147" s="68" t="n">
        <x:f>H147-G147</x:f>
        <x:v>-1</x:v>
      </x:c>
      <x:c r="J147" s="68" t="n">
        <x:v>24</x:v>
      </x:c>
      <x:c r="K147" s="73" t="n">
        <x:f>MAX(1,VLOOKUP(B147,'Parametri Modello'!$A$4:$H$7,2,FALSE)+VLOOKUP(B147,'Parametri Modello'!$A$4:$H$7,3,FALSE)*J147)</x:f>
        <x:v>5.647024774086397</x:v>
      </x:c>
      <x:c r="L147" s="73" t="n">
        <x:f>F147-K147</x:f>
        <x:v>-4.647024774086397</x:v>
      </x:c>
      <x:c r="M147" s="75" t="n">
        <x:f>F147/K147</x:f>
        <x:v>0.17708440107946663</x:v>
      </x:c>
      <x:c r="N147" s="75" t="n">
        <x:f>F147/G147</x:f>
        <x:v>0.1111111111111111</x:v>
      </x:c>
      <x:c r="O147" s="68" t="n">
        <x:v>4</x:v>
      </x:c>
      <x:c r="P147" s="68" t="str">
        <x:v>Centrocampisti</x:v>
      </x:c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>
      <x:c r="A148" s="68" t="n">
        <x:v>1933</x:v>
      </x:c>
      <x:c r="B148" s="68" t="str">
        <x:v>C</x:v>
      </x:c>
      <x:c r="C148" s="68" t="str">
        <x:v>Mandragora</x:v>
      </x:c>
      <x:c r="D148" s="68" t="str">
        <x:v>Fiorentina</x:v>
      </x:c>
      <x:c r="E148" s="68" t="str">
        <x:v>Alessio</x:v>
      </x:c>
      <x:c r="F148" s="68" t="n">
        <x:v>1</x:v>
      </x:c>
      <x:c r="G148" s="68" t="n">
        <x:v>14</x:v>
      </x:c>
      <x:c r="H148" s="68" t="n">
        <x:v>15</x:v>
      </x:c>
      <x:c r="I148" s="68" t="n">
        <x:f>H148-G148</x:f>
        <x:v>1</x:v>
      </x:c>
      <x:c r="J148" s="68" t="n">
        <x:v>30</x:v>
      </x:c>
      <x:c r="K148" s="73" t="n">
        <x:f>MAX(1,VLOOKUP(B148,'Parametri Modello'!$A$4:$H$7,2,FALSE)+VLOOKUP(B148,'Parametri Modello'!$A$4:$H$7,3,FALSE)*J148)</x:f>
        <x:v>7.719834695254516</x:v>
      </x:c>
      <x:c r="L148" s="73" t="n">
        <x:f>F148-K148</x:f>
        <x:v>-6.719834695254516</x:v>
      </x:c>
      <x:c r="M148" s="75" t="n">
        <x:f>F148/K148</x:f>
        <x:v>0.12953645245988404</x:v>
      </x:c>
      <x:c r="N148" s="75" t="n">
        <x:f>F148/G148</x:f>
        <x:v>0.07142857142857142</x:v>
      </x:c>
      <x:c r="O148" s="68" t="n">
        <x:v>3</x:v>
      </x:c>
      <x:c r="P148" s="68" t="str">
        <x:v>Centrocampisti</x:v>
      </x:c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>
      <x:c r="A149" s="68" t="n">
        <x:v>530</x:v>
      </x:c>
      <x:c r="B149" s="68" t="str">
        <x:v>C</x:v>
      </x:c>
      <x:c r="C149" s="68" t="str">
        <x:v>Pellegrini Lo.</x:v>
      </x:c>
      <x:c r="D149" s="68" t="str">
        <x:v>Roma</x:v>
      </x:c>
      <x:c r="E149" s="68" t="str">
        <x:v>IO</x:v>
      </x:c>
      <x:c r="F149" s="68" t="n">
        <x:v>1</x:v>
      </x:c>
      <x:c r="G149" s="68" t="n">
        <x:v>11</x:v>
      </x:c>
      <x:c r="H149" s="68" t="n">
        <x:v>10</x:v>
      </x:c>
      <x:c r="I149" s="68" t="n">
        <x:f>H149-G149</x:f>
        <x:v>-1</x:v>
      </x:c>
      <x:c r="J149" s="68" t="n">
        <x:v>20</x:v>
      </x:c>
      <x:c r="K149" s="73" t="n">
        <x:f>MAX(1,VLOOKUP(B149,'Parametri Modello'!$A$4:$H$7,2,FALSE)+VLOOKUP(B149,'Parametri Modello'!$A$4:$H$7,3,FALSE)*J149)</x:f>
        <x:v>4.26515149330765</x:v>
      </x:c>
      <x:c r="L149" s="73" t="n">
        <x:f>F149-K149</x:f>
        <x:v>-3.26515149330765</x:v>
      </x:c>
      <x:c r="M149" s="75" t="n">
        <x:f>F149/K149</x:f>
        <x:v>0.23445826052581642</x:v>
      </x:c>
      <x:c r="N149" s="75" t="n">
        <x:f>F149/G149</x:f>
        <x:v>0.09090909090909091</x:v>
      </x:c>
      <x:c r="O149" s="68" t="n">
        <x:v>4</x:v>
      </x:c>
      <x:c r="P149" s="68" t="str">
        <x:v>Centrocampisti</x:v>
      </x:c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>
      <x:c r="A150" s="68" t="n">
        <x:v>6549</x:v>
      </x:c>
      <x:c r="B150" s="68" t="str">
        <x:v>C</x:v>
      </x:c>
      <x:c r="C150" s="68" t="str">
        <x:v>Pierotti</x:v>
      </x:c>
      <x:c r="D150" s="68" t="str">
        <x:v>Lecce</x:v>
      </x:c>
      <x:c r="E150" s="68" t="str">
        <x:v>Alessio</x:v>
      </x:c>
      <x:c r="F150" s="68" t="n">
        <x:v>1</x:v>
      </x:c>
      <x:c r="G150" s="68" t="n">
        <x:v>10</x:v>
      </x:c>
      <x:c r="H150" s="68" t="n">
        <x:v>10</x:v>
      </x:c>
      <x:c r="I150" s="68" t="n">
        <x:f>H150-G150</x:f>
        <x:v>0</x:v>
      </x:c>
      <x:c r="J150" s="68" t="n">
        <x:v>20</x:v>
      </x:c>
      <x:c r="K150" s="73" t="n">
        <x:f>MAX(1,VLOOKUP(B150,'Parametri Modello'!$A$4:$H$7,2,FALSE)+VLOOKUP(B150,'Parametri Modello'!$A$4:$H$7,3,FALSE)*J150)</x:f>
        <x:v>4.26515149330765</x:v>
      </x:c>
      <x:c r="L150" s="73" t="n">
        <x:f>F150-K150</x:f>
        <x:v>-3.26515149330765</x:v>
      </x:c>
      <x:c r="M150" s="75" t="n">
        <x:f>F150/K150</x:f>
        <x:v>0.23445826052581642</x:v>
      </x:c>
      <x:c r="N150" s="75" t="n">
        <x:f>F150/G150</x:f>
        <x:v>0.1</x:v>
      </x:c>
      <x:c r="O150" s="68" t="n">
        <x:v>4</x:v>
      </x:c>
      <x:c r="P150" s="68" t="str">
        <x:v>Centrocampisti</x:v>
      </x:c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>
      <x:c r="A151" s="68" t="n">
        <x:v>4459</x:v>
      </x:c>
      <x:c r="B151" s="68" t="str">
        <x:v>C</x:v>
      </x:c>
      <x:c r="C151" s="68" t="str">
        <x:v>Rovella</x:v>
      </x:c>
      <x:c r="D151" s="68" t="str">
        <x:v>Lazio</x:v>
      </x:c>
      <x:c r="E151" s="68" t="str">
        <x:v>Simo Q</x:v>
      </x:c>
      <x:c r="F151" s="68" t="n">
        <x:v>1</x:v>
      </x:c>
      <x:c r="G151" s="68" t="n">
        <x:v>8</x:v>
      </x:c>
      <x:c r="H151" s="68" t="n">
        <x:v>8</x:v>
      </x:c>
      <x:c r="I151" s="68" t="n">
        <x:f>H151-G151</x:f>
        <x:v>0</x:v>
      </x:c>
      <x:c r="J151" s="68" t="n">
        <x:v>22</x:v>
      </x:c>
      <x:c r="K151" s="73" t="n">
        <x:f>MAX(1,VLOOKUP(B151,'Parametri Modello'!$A$4:$H$7,2,FALSE)+VLOOKUP(B151,'Parametri Modello'!$A$4:$H$7,3,FALSE)*J151)</x:f>
        <x:v>4.9560881336970235</x:v>
      </x:c>
      <x:c r="L151" s="73" t="n">
        <x:f>F151-K151</x:f>
        <x:v>-3.9560881336970235</x:v>
      </x:c>
      <x:c r="M151" s="75" t="n">
        <x:f>F151/K151</x:f>
        <x:v>0.20177203734551913</x:v>
      </x:c>
      <x:c r="N151" s="75" t="n">
        <x:f>F151/G151</x:f>
        <x:v>0.125</x:v>
      </x:c>
      <x:c r="O151" s="68" t="n">
        <x:v>4</x:v>
      </x:c>
      <x:c r="P151" s="68" t="str">
        <x:v>Centrocampisti</x:v>
      </x:c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>
      <x:c r="A152" s="68" t="n">
        <x:v>7209</x:v>
      </x:c>
      <x:c r="B152" s="68" t="str">
        <x:v>C</x:v>
      </x:c>
      <x:c r="C152" s="68" t="str">
        <x:v>Sorensen O.</x:v>
      </x:c>
      <x:c r="D152" s="68" t="str">
        <x:v>Parma</x:v>
      </x:c>
      <x:c r="E152" s="68" t="str">
        <x:v>Carlo</x:v>
      </x:c>
      <x:c r="F152" s="68" t="n">
        <x:v>1</x:v>
      </x:c>
      <x:c r="G152" s="68" t="n">
        <x:v>6</x:v>
      </x:c>
      <x:c r="H152" s="68" t="n">
        <x:v>6</x:v>
      </x:c>
      <x:c r="I152" s="68" t="n">
        <x:f>H152-G152</x:f>
        <x:v>0</x:v>
      </x:c>
      <x:c r="J152" s="68" t="n">
        <x:v>13</x:v>
      </x:c>
      <x:c r="K152" s="73" t="n">
        <x:f>MAX(1,VLOOKUP(B152,'Parametri Modello'!$A$4:$H$7,2,FALSE)+VLOOKUP(B152,'Parametri Modello'!$A$4:$H$7,3,FALSE)*J152)</x:f>
        <x:v>1.846873251944845</x:v>
      </x:c>
      <x:c r="L152" s="73" t="n">
        <x:f>F152-K152</x:f>
        <x:v>-0.846873251944845</x:v>
      </x:c>
      <x:c r="M152" s="75" t="n">
        <x:f>F152/K152</x:f>
        <x:v>0.541455673228768</x:v>
      </x:c>
      <x:c r="N152" s="75" t="n">
        <x:f>F152/G152</x:f>
        <x:v>0.16666666666666666</x:v>
      </x:c>
      <x:c r="O152" s="68" t="n">
        <x:v>4</x:v>
      </x:c>
      <x:c r="P152" s="68" t="str">
        <x:v>Centrocampisti</x:v>
      </x:c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>
      <x:c r="A153" s="68" t="n">
        <x:v>5561</x:v>
      </x:c>
      <x:c r="B153" s="68" t="str">
        <x:v>C</x:v>
      </x:c>
      <x:c r="C153" s="68" t="str">
        <x:v>Stengs</x:v>
      </x:c>
      <x:c r="D153" s="68" t="str">
        <x:v>Pisa</x:v>
      </x:c>
      <x:c r="E153" s="68" t="str">
        <x:v>Alessio</x:v>
      </x:c>
      <x:c r="F153" s="68" t="n">
        <x:v>1</x:v>
      </x:c>
      <x:c r="G153" s="68" t="n">
        <x:v>11</x:v>
      </x:c>
      <x:c r="H153" s="68" t="n">
        <x:v>11</x:v>
      </x:c>
      <x:c r="I153" s="68" t="n">
        <x:f>H153-G153</x:f>
        <x:v>0</x:v>
      </x:c>
      <x:c r="J153" s="68" t="n">
        <x:v>35</x:v>
      </x:c>
      <x:c r="K153" s="73" t="n">
        <x:f>MAX(1,VLOOKUP(B153,'Parametri Modello'!$A$4:$H$7,2,FALSE)+VLOOKUP(B153,'Parametri Modello'!$A$4:$H$7,3,FALSE)*J153)</x:f>
        <x:v>9.447176296227948</x:v>
      </x:c>
      <x:c r="L153" s="73" t="n">
        <x:f>F153-K153</x:f>
        <x:v>-8.447176296227948</x:v>
      </x:c>
      <x:c r="M153" s="75" t="n">
        <x:f>F153/K153</x:f>
        <x:v>0.10585173480876801</x:v>
      </x:c>
      <x:c r="N153" s="75" t="n">
        <x:f>F153/G153</x:f>
        <x:v>0.09090909090909091</x:v>
      </x:c>
      <x:c r="O153" s="68" t="n">
        <x:v>2</x:v>
      </x:c>
      <x:c r="P153" s="68" t="str">
        <x:v>Centrocampisti</x:v>
      </x:c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>
      <x:c r="A154" s="68" t="n">
        <x:v>5422</x:v>
      </x:c>
      <x:c r="B154" s="68" t="str">
        <x:v>C</x:v>
      </x:c>
      <x:c r="C154" s="68" t="str">
        <x:v>Zalewski</x:v>
      </x:c>
      <x:c r="D154" s="68" t="str">
        <x:v>Atalanta</x:v>
      </x:c>
      <x:c r="E154" s="68" t="str">
        <x:v>Nicola</x:v>
      </x:c>
      <x:c r="F154" s="68" t="n">
        <x:v>1</x:v>
      </x:c>
      <x:c r="G154" s="68" t="n">
        <x:v>6</x:v>
      </x:c>
      <x:c r="H154" s="68" t="n">
        <x:v>7</x:v>
      </x:c>
      <x:c r="I154" s="68" t="n">
        <x:f>H154-G154</x:f>
        <x:v>1</x:v>
      </x:c>
      <x:c r="J154" s="68" t="n">
        <x:v>25</x:v>
      </x:c>
      <x:c r="K154" s="73" t="n">
        <x:f>MAX(1,VLOOKUP(B154,'Parametri Modello'!$A$4:$H$7,2,FALSE)+VLOOKUP(B154,'Parametri Modello'!$A$4:$H$7,3,FALSE)*J154)</x:f>
        <x:v>5.992493094281082</x:v>
      </x:c>
      <x:c r="L154" s="73" t="n">
        <x:f>F154-K154</x:f>
        <x:v>-4.992493094281082</x:v>
      </x:c>
      <x:c r="M154" s="75" t="n">
        <x:f>F154/K154</x:f>
        <x:v>0.16687545304880652</x:v>
      </x:c>
      <x:c r="N154" s="75" t="n">
        <x:f>F154/G154</x:f>
        <x:v>0.16666666666666666</x:v>
      </x:c>
      <x:c r="O154" s="68" t="n">
        <x:v>4</x:v>
      </x:c>
      <x:c r="P154" s="68" t="str">
        <x:v>Centrocampisti</x:v>
      </x:c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>
      <x:c r="A155" s="68" t="n">
        <x:v>5998</x:v>
      </x:c>
      <x:c r="B155" s="68" t="str">
        <x:v>C</x:v>
      </x:c>
      <x:c r="C155" s="68" t="str">
        <x:v>Zerbin</x:v>
      </x:c>
      <x:c r="D155" s="68" t="str">
        <x:v>Cremonese</x:v>
      </x:c>
      <x:c r="E155" s="68" t="str">
        <x:v>Andre</x:v>
      </x:c>
      <x:c r="F155" s="68" t="n">
        <x:v>1</x:v>
      </x:c>
      <x:c r="G155" s="68" t="n">
        <x:v>3</x:v>
      </x:c>
      <x:c r="H155" s="68" t="n">
        <x:v>5</x:v>
      </x:c>
      <x:c r="I155" s="68" t="n">
        <x:f>H155-G155</x:f>
        <x:v>2</x:v>
      </x:c>
      <x:c r="J155" s="68" t="n">
        <x:v>28</x:v>
      </x:c>
      <x:c r="K155" s="73" t="n">
        <x:f>MAX(1,VLOOKUP(B155,'Parametri Modello'!$A$4:$H$7,2,FALSE)+VLOOKUP(B155,'Parametri Modello'!$A$4:$H$7,3,FALSE)*J155)</x:f>
        <x:v>7.028898054865142</x:v>
      </x:c>
      <x:c r="L155" s="73" t="n">
        <x:f>F155-K155</x:f>
        <x:v>-6.028898054865142</x:v>
      </x:c>
      <x:c r="M155" s="75" t="n">
        <x:f>F155/K155</x:f>
        <x:v>0.14226981131243427</x:v>
      </x:c>
      <x:c r="N155" s="75" t="n">
        <x:f>F155/G155</x:f>
        <x:v>0.3333333333333333</x:v>
      </x:c>
      <x:c r="O155" s="68" t="n">
        <x:v>3</x:v>
      </x:c>
      <x:c r="P155" s="68" t="str">
        <x:v>Centrocampisti</x:v>
      </x:c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>
      <x:c r="A156" s="68" t="n">
        <x:v>2097</x:v>
      </x:c>
      <x:c r="B156" s="68" t="str">
        <x:v>A</x:v>
      </x:c>
      <x:c r="C156" s="68" t="str">
        <x:v>Kean</x:v>
      </x:c>
      <x:c r="D156" s="68" t="str">
        <x:v>Fiorentina</x:v>
      </x:c>
      <x:c r="E156" s="68" t="str">
        <x:v>Nicola</x:v>
      </x:c>
      <x:c r="F156" s="68" t="n">
        <x:v>136</x:v>
      </x:c>
      <x:c r="G156" s="68" t="n">
        <x:v>33</x:v>
      </x:c>
      <x:c r="H156" s="68" t="n">
        <x:v>31</x:v>
      </x:c>
      <x:c r="I156" s="68" t="n">
        <x:f>H156-G156</x:f>
        <x:v>-2</x:v>
      </x:c>
      <x:c r="J156" s="68" t="n">
        <x:v>364</x:v>
      </x:c>
      <x:c r="K156" s="73" t="n">
        <x:f>MAX(1,VLOOKUP(B156,'Parametri Modello'!$A$4:$H$7,2,FALSE)+VLOOKUP(B156,'Parametri Modello'!$A$4:$H$7,3,FALSE)*J156)</x:f>
        <x:v>137.3987374742135</x:v>
      </x:c>
      <x:c r="L156" s="73" t="n">
        <x:f>F156-K156</x:f>
        <x:v>-1.3987374742135046</x:v>
      </x:c>
      <x:c r="M156" s="75" t="n">
        <x:f>F156/K156</x:f>
        <x:v>0.989819866616489</x:v>
      </x:c>
      <x:c r="N156" s="75" t="n">
        <x:f>F156/G156</x:f>
        <x:v>4.121212121212121</x:v>
      </x:c>
      <x:c r="O156" s="68" t="n">
        <x:v>1</x:v>
      </x:c>
      <x:c r="P156" s="68" t="str">
        <x:v>Attaccanti</x:v>
      </x:c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>
      <x:c r="A157" s="68" t="n">
        <x:v>2764</x:v>
      </x:c>
      <x:c r="B157" s="68" t="str">
        <x:v>A</x:v>
      </x:c>
      <x:c r="C157" s="68" t="str">
        <x:v>Martinez L.</x:v>
      </x:c>
      <x:c r="D157" s="68" t="str">
        <x:v>Inter</x:v>
      </x:c>
      <x:c r="E157" s="68" t="str">
        <x:v>Marco</x:v>
      </x:c>
      <x:c r="F157" s="68" t="n">
        <x:v>125</x:v>
      </x:c>
      <x:c r="G157" s="68" t="n">
        <x:v>34</x:v>
      </x:c>
      <x:c r="H157" s="68" t="n">
        <x:v>34</x:v>
      </x:c>
      <x:c r="I157" s="68" t="n">
        <x:f>H157-G157</x:f>
        <x:v>0</x:v>
      </x:c>
      <x:c r="J157" s="68" t="n">
        <x:v>373</x:v>
      </x:c>
      <x:c r="K157" s="73" t="n">
        <x:f>MAX(1,VLOOKUP(B157,'Parametri Modello'!$A$4:$H$7,2,FALSE)+VLOOKUP(B157,'Parametri Modello'!$A$4:$H$7,3,FALSE)*J157)</x:f>
        <x:v>140.99239677880675</x:v>
      </x:c>
      <x:c r="L157" s="73" t="n">
        <x:f>F157-K157</x:f>
        <x:v>-15.99239677880675</x:v>
      </x:c>
      <x:c r="M157" s="75" t="n">
        <x:f>F157/K157</x:f>
        <x:v>0.886572629842614</x:v>
      </x:c>
      <x:c r="N157" s="75" t="n">
        <x:f>F157/G157</x:f>
        <x:v>3.676470588235294</x:v>
      </x:c>
      <x:c r="O157" s="68" t="n">
        <x:v>1</x:v>
      </x:c>
      <x:c r="P157" s="68" t="str">
        <x:v>Attaccanti</x:v>
      </x:c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>
      <x:c r="A158" s="68" t="n">
        <x:v>4871</x:v>
      </x:c>
      <x:c r="B158" s="68" t="str">
        <x:v>A</x:v>
      </x:c>
      <x:c r="C158" s="68" t="str">
        <x:v>Thuram</x:v>
      </x:c>
      <x:c r="D158" s="68" t="str">
        <x:v>Inter</x:v>
      </x:c>
      <x:c r="E158" s="68" t="str">
        <x:v>Carlo</x:v>
      </x:c>
      <x:c r="F158" s="68" t="n">
        <x:v>123</x:v>
      </x:c>
      <x:c r="G158" s="68" t="n">
        <x:v>29</x:v>
      </x:c>
      <x:c r="H158" s="68" t="n">
        <x:v>31</x:v>
      </x:c>
      <x:c r="I158" s="68" t="n">
        <x:f>H158-G158</x:f>
        <x:v>2</x:v>
      </x:c>
      <x:c r="J158" s="68" t="n">
        <x:v>337</x:v>
      </x:c>
      <x:c r="K158" s="73" t="n">
        <x:f>MAX(1,VLOOKUP(B158,'Parametri Modello'!$A$4:$H$7,2,FALSE)+VLOOKUP(B158,'Parametri Modello'!$A$4:$H$7,3,FALSE)*J158)</x:f>
        <x:v>126.6177595604338</x:v>
      </x:c>
      <x:c r="L158" s="73" t="n">
        <x:f>F158-K158</x:f>
        <x:v>-3.6177595604337967</x:v>
      </x:c>
      <x:c r="M158" s="75" t="n">
        <x:f>F158/K158</x:f>
        <x:v>0.971427708301006</x:v>
      </x:c>
      <x:c r="N158" s="75" t="n">
        <x:f>F158/G158</x:f>
        <x:v>4.241379310344827</x:v>
      </x:c>
      <x:c r="O158" s="68" t="n">
        <x:v>1</x:v>
      </x:c>
      <x:c r="P158" s="68" t="str">
        <x:v>Attaccanti</x:v>
      </x:c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>
      <x:c r="A159" s="68" t="n">
        <x:v>4510</x:v>
      </x:c>
      <x:c r="B159" s="68" t="str">
        <x:v>A</x:v>
      </x:c>
      <x:c r="C159" s="68" t="str">
        <x:v>Leao</x:v>
      </x:c>
      <x:c r="D159" s="68" t="str">
        <x:v>Milan</x:v>
      </x:c>
      <x:c r="E159" s="68" t="str">
        <x:v>IO</x:v>
      </x:c>
      <x:c r="F159" s="68" t="n">
        <x:v>98</x:v>
      </x:c>
      <x:c r="G159" s="68" t="n">
        <x:v>24</x:v>
      </x:c>
      <x:c r="H159" s="68" t="n">
        <x:v>23</x:v>
      </x:c>
      <x:c r="I159" s="68" t="n">
        <x:f>H159-G159</x:f>
        <x:v>-1</x:v>
      </x:c>
      <x:c r="J159" s="68" t="n">
        <x:v>210</x:v>
      </x:c>
      <x:c r="K159" s="73" t="n">
        <x:f>MAX(1,VLOOKUP(B159,'Parametri Modello'!$A$4:$H$7,2,FALSE)+VLOOKUP(B159,'Parametri Modello'!$A$4:$H$7,3,FALSE)*J159)</x:f>
        <x:v>75.90723381784026</x:v>
      </x:c>
      <x:c r="L159" s="73" t="n">
        <x:f>F159-K159</x:f>
        <x:v>22.092766182159735</x:v>
      </x:c>
      <x:c r="M159" s="75" t="n">
        <x:f>F159/K159</x:f>
        <x:v>1.29104954917969</x:v>
      </x:c>
      <x:c r="N159" s="75" t="n">
        <x:f>F159/G159</x:f>
        <x:v>4.083333333333333</x:v>
      </x:c>
      <x:c r="O159" s="68" t="n">
        <x:v>1</x:v>
      </x:c>
      <x:c r="P159" s="68" t="str">
        <x:v>Attaccanti</x:v>
      </x:c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>
      <x:c r="A160" s="68" t="n">
        <x:v>5544</x:v>
      </x:c>
      <x:c r="B160" s="68" t="str">
        <x:v>A</x:v>
      </x:c>
      <x:c r="C160" s="68" t="str">
        <x:v>David</x:v>
      </x:c>
      <x:c r="D160" s="68" t="str">
        <x:v>Juventus</x:v>
      </x:c>
      <x:c r="E160" s="68" t="str">
        <x:v>Alessio</x:v>
      </x:c>
      <x:c r="F160" s="68" t="n">
        <x:v>93</x:v>
      </x:c>
      <x:c r="G160" s="68" t="n">
        <x:v>27</x:v>
      </x:c>
      <x:c r="H160" s="68" t="n">
        <x:v>27</x:v>
      </x:c>
      <x:c r="I160" s="68" t="n">
        <x:f>H160-G160</x:f>
        <x:v>0</x:v>
      </x:c>
      <x:c r="J160" s="68" t="n">
        <x:v>266</x:v>
      </x:c>
      <x:c r="K160" s="73" t="n">
        <x:f>MAX(1,VLOOKUP(B160,'Parametri Modello'!$A$4:$H$7,2,FALSE)+VLOOKUP(B160,'Parametri Modello'!$A$4:$H$7,3,FALSE)*J160)</x:f>
        <x:v>98.267780601976</x:v>
      </x:c>
      <x:c r="L160" s="73" t="n">
        <x:f>F160-K160</x:f>
        <x:v>-5.267780601976</x:v>
      </x:c>
      <x:c r="M160" s="75" t="n">
        <x:f>F160/K160</x:f>
        <x:v>0.9463936137591972</x:v>
      </x:c>
      <x:c r="N160" s="75" t="n">
        <x:f>F160/G160</x:f>
        <x:v>3.4444444444444446</x:v>
      </x:c>
      <x:c r="O160" s="68" t="n">
        <x:v>1</x:v>
      </x:c>
      <x:c r="P160" s="68" t="str">
        <x:v>Attaccanti</x:v>
      </x:c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>
      <x:c r="A161" s="68" t="n">
        <x:v>6226</x:v>
      </x:c>
      <x:c r="B161" s="68" t="str">
        <x:v>A</x:v>
      </x:c>
      <x:c r="C161" s="68" t="str">
        <x:v>Castellanos</x:v>
      </x:c>
      <x:c r="D161" s="68" t="str">
        <x:v>Lazio</x:v>
      </x:c>
      <x:c r="E161" s="68" t="str">
        <x:v>Nicola</x:v>
      </x:c>
      <x:c r="F161" s="68" t="n">
        <x:v>92</x:v>
      </x:c>
      <x:c r="G161" s="68" t="n">
        <x:v>21</x:v>
      </x:c>
      <x:c r="H161" s="68" t="n">
        <x:v>22</x:v>
      </x:c>
      <x:c r="I161" s="68" t="n">
        <x:f>H161-G161</x:f>
        <x:v>1</x:v>
      </x:c>
      <x:c r="J161" s="68" t="n">
        <x:v>198</x:v>
      </x:c>
      <x:c r="K161" s="73" t="n">
        <x:f>MAX(1,VLOOKUP(B161,'Parametri Modello'!$A$4:$H$7,2,FALSE)+VLOOKUP(B161,'Parametri Modello'!$A$4:$H$7,3,FALSE)*J161)</x:f>
        <x:v>71.11568807838262</x:v>
      </x:c>
      <x:c r="L161" s="73" t="n">
        <x:f>F161-K161</x:f>
        <x:v>20.884311921617382</x:v>
      </x:c>
      <x:c r="M161" s="75" t="n">
        <x:f>F161/K161</x:f>
        <x:v>1.2936667349488205</x:v>
      </x:c>
      <x:c r="N161" s="75" t="n">
        <x:f>F161/G161</x:f>
        <x:v>4.380952380952381</x:v>
      </x:c>
      <x:c r="O161" s="68" t="n">
        <x:v>1</x:v>
      </x:c>
      <x:c r="P161" s="68" t="str">
        <x:v>Attaccanti</x:v>
      </x:c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>
      <x:c r="A162" s="68" t="n">
        <x:v>6052</x:v>
      </x:c>
      <x:c r="B162" s="68" t="str">
        <x:v>A</x:v>
      </x:c>
      <x:c r="C162" s="68" t="str">
        <x:v>Hojlund</x:v>
      </x:c>
      <x:c r="D162" s="68" t="str">
        <x:v>Napoli</x:v>
      </x:c>
      <x:c r="E162" s="68" t="str">
        <x:v>Andre</x:v>
      </x:c>
      <x:c r="F162" s="68" t="n">
        <x:v>84</x:v>
      </x:c>
      <x:c r="G162" s="68" t="n">
        <x:v>24</x:v>
      </x:c>
      <x:c r="H162" s="68" t="n">
        <x:v>24</x:v>
      </x:c>
      <x:c r="I162" s="68" t="n">
        <x:f>H162-G162</x:f>
        <x:v>0</x:v>
      </x:c>
      <x:c r="J162" s="68" t="n">
        <x:v>186</x:v>
      </x:c>
      <x:c r="K162" s="73" t="n">
        <x:f>MAX(1,VLOOKUP(B162,'Parametri Modello'!$A$4:$H$7,2,FALSE)+VLOOKUP(B162,'Parametri Modello'!$A$4:$H$7,3,FALSE)*J162)</x:f>
        <x:v>66.32414233892496</x:v>
      </x:c>
      <x:c r="L162" s="73" t="n">
        <x:f>F162-K162</x:f>
        <x:v>17.675857661075042</x:v>
      </x:c>
      <x:c r="M162" s="75" t="n">
        <x:f>F162/K162</x:f>
        <x:v>1.2665071426140593</x:v>
      </x:c>
      <x:c r="N162" s="75" t="n">
        <x:f>F162/G162</x:f>
        <x:v>3.5</x:v>
      </x:c>
      <x:c r="O162" s="68" t="n">
        <x:v>1</x:v>
      </x:c>
      <x:c r="P162" s="68" t="str">
        <x:v>Attaccanti</x:v>
      </x:c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>
      <x:c r="A163" s="68" t="n">
        <x:v>5734</x:v>
      </x:c>
      <x:c r="B163" s="68" t="str">
        <x:v>A</x:v>
      </x:c>
      <x:c r="C163" s="68" t="str">
        <x:v>Soulè</x:v>
      </x:c>
      <x:c r="D163" s="68" t="str">
        <x:v>Roma</x:v>
      </x:c>
      <x:c r="E163" s="68" t="str">
        <x:v>Alessio</x:v>
      </x:c>
      <x:c r="F163" s="68" t="n">
        <x:v>83</x:v>
      </x:c>
      <x:c r="G163" s="68" t="n">
        <x:v>20</x:v>
      </x:c>
      <x:c r="H163" s="68" t="n">
        <x:v>20</x:v>
      </x:c>
      <x:c r="I163" s="68" t="n">
        <x:f>H163-G163</x:f>
        <x:v>0</x:v>
      </x:c>
      <x:c r="J163" s="68" t="n">
        <x:v>153</x:v>
      </x:c>
      <x:c r="K163" s="73" t="n">
        <x:f>MAX(1,VLOOKUP(B163,'Parametri Modello'!$A$4:$H$7,2,FALSE)+VLOOKUP(B163,'Parametri Modello'!$A$4:$H$7,3,FALSE)*J163)</x:f>
        <x:v>53.147391555416405</x:v>
      </x:c>
      <x:c r="L163" s="73" t="n">
        <x:f>F163-K163</x:f>
        <x:v>29.852608444583595</x:v>
      </x:c>
      <x:c r="M163" s="75" t="n">
        <x:f>F163/K163</x:f>
        <x:v>1.5616947054392405</x:v>
      </x:c>
      <x:c r="N163" s="75" t="n">
        <x:f>F163/G163</x:f>
        <x:v>4.15</x:v>
      </x:c>
      <x:c r="O163" s="68" t="n">
        <x:v>1</x:v>
      </x:c>
      <x:c r="P163" s="68" t="str">
        <x:v>Attaccanti</x:v>
      </x:c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>
      <x:c r="A164" s="68" t="n">
        <x:v>2137</x:v>
      </x:c>
      <x:c r="B164" s="68" t="str">
        <x:v>A</x:v>
      </x:c>
      <x:c r="C164" s="68" t="str">
        <x:v>Scamacca</x:v>
      </x:c>
      <x:c r="D164" s="68" t="str">
        <x:v>Atalanta</x:v>
      </x:c>
      <x:c r="E164" s="68" t="str">
        <x:v>Andre</x:v>
      </x:c>
      <x:c r="F164" s="68" t="n">
        <x:v>77</x:v>
      </x:c>
      <x:c r="G164" s="68" t="n">
        <x:v>19</x:v>
      </x:c>
      <x:c r="H164" s="68" t="n">
        <x:v>20</x:v>
      </x:c>
      <x:c r="I164" s="68" t="n">
        <x:f>H164-G164</x:f>
        <x:v>1</x:v>
      </x:c>
      <x:c r="J164" s="68" t="n">
        <x:v>119</x:v>
      </x:c>
      <x:c r="K164" s="73" t="n">
        <x:f>MAX(1,VLOOKUP(B164,'Parametri Modello'!$A$4:$H$7,2,FALSE)+VLOOKUP(B164,'Parametri Modello'!$A$4:$H$7,3,FALSE)*J164)</x:f>
        <x:v>39.57134529361972</x:v>
      </x:c>
      <x:c r="L164" s="73" t="n">
        <x:f>F164-K164</x:f>
        <x:v>37.42865470638028</x:v>
      </x:c>
      <x:c r="M164" s="75" t="n">
        <x:f>F164/K164</x:f>
        <x:v>1.9458524704848759</x:v>
      </x:c>
      <x:c r="N164" s="75" t="n">
        <x:f>F164/G164</x:f>
        <x:v>4.052631578947368</x:v>
      </x:c>
      <x:c r="O164" s="68" t="n">
        <x:v>2</x:v>
      </x:c>
      <x:c r="P164" s="68" t="str">
        <x:v>Attaccanti</x:v>
      </x:c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>
      <x:c r="A165" s="68" t="n">
        <x:v>6434</x:v>
      </x:c>
      <x:c r="B165" s="68" t="str">
        <x:v>A</x:v>
      </x:c>
      <x:c r="C165" s="68" t="str">
        <x:v>Yildiz</x:v>
      </x:c>
      <x:c r="D165" s="68" t="str">
        <x:v>Juventus</x:v>
      </x:c>
      <x:c r="E165" s="68" t="str">
        <x:v>Cri</x:v>
      </x:c>
      <x:c r="F165" s="68" t="n">
        <x:v>76</x:v>
      </x:c>
      <x:c r="G165" s="68" t="n">
        <x:v>24</x:v>
      </x:c>
      <x:c r="H165" s="68" t="n">
        <x:v>25</x:v>
      </x:c>
      <x:c r="I165" s="68" t="n">
        <x:f>H165-G165</x:f>
        <x:v>1</x:v>
      </x:c>
      <x:c r="J165" s="68" t="n">
        <x:v>220</x:v>
      </x:c>
      <x:c r="K165" s="73" t="n">
        <x:f>MAX(1,VLOOKUP(B165,'Parametri Modello'!$A$4:$H$7,2,FALSE)+VLOOKUP(B165,'Parametri Modello'!$A$4:$H$7,3,FALSE)*J165)</x:f>
        <x:v>79.90018860072165</x:v>
      </x:c>
      <x:c r="L165" s="73" t="n">
        <x:f>F165-K165</x:f>
        <x:v>-3.9001886007216484</x:v>
      </x:c>
      <x:c r="M165" s="75" t="n">
        <x:f>F165/K165</x:f>
        <x:v>0.9511867409949215</x:v>
      </x:c>
      <x:c r="N165" s="75" t="n">
        <x:f>F165/G165</x:f>
        <x:v>3.1666666666666665</x:v>
      </x:c>
      <x:c r="O165" s="68" t="n">
        <x:v>1</x:v>
      </x:c>
      <x:c r="P165" s="68" t="str">
        <x:v>Attaccanti</x:v>
      </x:c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>
      <x:c r="A166" s="68" t="n">
        <x:v>6365</x:v>
      </x:c>
      <x:c r="B166" s="68" t="str">
        <x:v>A</x:v>
      </x:c>
      <x:c r="C166" s="68" t="str">
        <x:v>Ferguson E.</x:v>
      </x:c>
      <x:c r="D166" s="68" t="str">
        <x:v>Roma</x:v>
      </x:c>
      <x:c r="E166" s="68" t="str">
        <x:v>Simo Q</x:v>
      </x:c>
      <x:c r="F166" s="68" t="n">
        <x:v>71</x:v>
      </x:c>
      <x:c r="G166" s="68" t="n">
        <x:v>19</x:v>
      </x:c>
      <x:c r="H166" s="68" t="n">
        <x:v>19</x:v>
      </x:c>
      <x:c r="I166" s="68" t="n">
        <x:f>H166-G166</x:f>
        <x:v>0</x:v>
      </x:c>
      <x:c r="J166" s="68" t="n">
        <x:v>162</x:v>
      </x:c>
      <x:c r="K166" s="73" t="n">
        <x:f>MAX(1,VLOOKUP(B166,'Parametri Modello'!$A$4:$H$7,2,FALSE)+VLOOKUP(B166,'Parametri Modello'!$A$4:$H$7,3,FALSE)*J166)</x:f>
        <x:v>56.74105086000965</x:v>
      </x:c>
      <x:c r="L166" s="73" t="n">
        <x:f>F166-K166</x:f>
        <x:v>14.25894913999035</x:v>
      </x:c>
      <x:c r="M166" s="75" t="n">
        <x:f>F166/K166</x:f>
        <x:v>1.2512986439953278</x:v>
      </x:c>
      <x:c r="N166" s="75" t="n">
        <x:f>F166/G166</x:f>
        <x:v>3.736842105263158</x:v>
      </x:c>
      <x:c r="O166" s="68" t="n">
        <x:v>1</x:v>
      </x:c>
      <x:c r="P166" s="68" t="str">
        <x:v>Attaccanti</x:v>
      </x:c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>
      <x:c r="A167" s="68" t="n">
        <x:v>531</x:v>
      </x:c>
      <x:c r="B167" s="68" t="str">
        <x:v>A</x:v>
      </x:c>
      <x:c r="C167" s="68" t="str">
        <x:v>Berardi</x:v>
      </x:c>
      <x:c r="D167" s="68" t="str">
        <x:v>Sassuolo</x:v>
      </x:c>
      <x:c r="E167" s="68" t="str">
        <x:v>Simo Q</x:v>
      </x:c>
      <x:c r="F167" s="68" t="n">
        <x:v>61</x:v>
      </x:c>
      <x:c r="G167" s="68" t="n">
        <x:v>21</x:v>
      </x:c>
      <x:c r="H167" s="68" t="n">
        <x:v>21</x:v>
      </x:c>
      <x:c r="I167" s="68" t="n">
        <x:f>H167-G167</x:f>
        <x:v>0</x:v>
      </x:c>
      <x:c r="J167" s="68" t="n">
        <x:v>144</x:v>
      </x:c>
      <x:c r="K167" s="73" t="n">
        <x:f>MAX(1,VLOOKUP(B167,'Parametri Modello'!$A$4:$H$7,2,FALSE)+VLOOKUP(B167,'Parametri Modello'!$A$4:$H$7,3,FALSE)*J167)</x:f>
        <x:v>49.55373225082317</x:v>
      </x:c>
      <x:c r="L167" s="73" t="n">
        <x:f>F167-K167</x:f>
        <x:v>11.446267749176833</x:v>
      </x:c>
      <x:c r="M167" s="75" t="n">
        <x:f>F167/K167</x:f>
        <x:v>1.2309869959186917</x:v>
      </x:c>
      <x:c r="N167" s="75" t="n">
        <x:f>F167/G167</x:f>
        <x:v>2.9047619047619047</x:v>
      </x:c>
      <x:c r="O167" s="68" t="n">
        <x:v>2</x:v>
      </x:c>
      <x:c r="P167" s="68" t="str">
        <x:v>Attaccanti</x:v>
      </x:c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>
      <x:c r="A168" s="68" t="n">
        <x:v>4730</x:v>
      </x:c>
      <x:c r="B168" s="68" t="str">
        <x:v>A</x:v>
      </x:c>
      <x:c r="C168" s="68" t="str">
        <x:v>Lookman</x:v>
      </x:c>
      <x:c r="D168" s="68" t="str">
        <x:v>Atalanta</x:v>
      </x:c>
      <x:c r="E168" s="68" t="str">
        <x:v>Carlo</x:v>
      </x:c>
      <x:c r="F168" s="68" t="n">
        <x:v>61</x:v>
      </x:c>
      <x:c r="G168" s="68" t="n">
        <x:v>29</x:v>
      </x:c>
      <x:c r="H168" s="68" t="n">
        <x:v>28</x:v>
      </x:c>
      <x:c r="I168" s="68" t="n">
        <x:f>H168-G168</x:f>
        <x:v>-1</x:v>
      </x:c>
      <x:c r="J168" s="68" t="n">
        <x:v>134</x:v>
      </x:c>
      <x:c r="K168" s="73" t="n">
        <x:f>MAX(1,VLOOKUP(B168,'Parametri Modello'!$A$4:$H$7,2,FALSE)+VLOOKUP(B168,'Parametri Modello'!$A$4:$H$7,3,FALSE)*J168)</x:f>
        <x:v>45.56077746794179</x:v>
      </x:c>
      <x:c r="L168" s="73" t="n">
        <x:f>F168-K168</x:f>
        <x:v>15.43922253205821</x:v>
      </x:c>
      <x:c r="M168" s="75" t="n">
        <x:f>F168/K168</x:f>
        <x:v>1.3388709190250716</x:v>
      </x:c>
      <x:c r="N168" s="75" t="n">
        <x:f>F168/G168</x:f>
        <x:v>2.103448275862069</x:v>
      </x:c>
      <x:c r="O168" s="68" t="n">
        <x:v>2</x:v>
      </x:c>
      <x:c r="P168" s="68" t="str">
        <x:v>Attaccanti</x:v>
      </x:c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>
      <x:c r="A169" s="68" t="n">
        <x:v>309</x:v>
      </x:c>
      <x:c r="B169" s="68" t="str">
        <x:v>A</x:v>
      </x:c>
      <x:c r="C169" s="68" t="str">
        <x:v>Dybala</x:v>
      </x:c>
      <x:c r="D169" s="68" t="str">
        <x:v>Roma</x:v>
      </x:c>
      <x:c r="E169" s="68" t="str">
        <x:v>Marco</x:v>
      </x:c>
      <x:c r="F169" s="68" t="n">
        <x:v>60</x:v>
      </x:c>
      <x:c r="G169" s="68" t="n">
        <x:v>26</x:v>
      </x:c>
      <x:c r="H169" s="68" t="n">
        <x:v>26</x:v>
      </x:c>
      <x:c r="I169" s="68" t="n">
        <x:f>H169-G169</x:f>
        <x:v>0</x:v>
      </x:c>
      <x:c r="J169" s="68" t="n">
        <x:v>218</x:v>
      </x:c>
      <x:c r="K169" s="73" t="n">
        <x:f>MAX(1,VLOOKUP(B169,'Parametri Modello'!$A$4:$H$7,2,FALSE)+VLOOKUP(B169,'Parametri Modello'!$A$4:$H$7,3,FALSE)*J169)</x:f>
        <x:v>79.10159764414537</x:v>
      </x:c>
      <x:c r="L169" s="73" t="n">
        <x:f>F169-K169</x:f>
        <x:v>-19.10159764414537</x:v>
      </x:c>
      <x:c r="M169" s="75" t="n">
        <x:f>F169/K169</x:f>
        <x:v>0.7585181815154001</x:v>
      </x:c>
      <x:c r="N169" s="75" t="n">
        <x:f>F169/G169</x:f>
        <x:v>2.3076923076923075</x:v>
      </x:c>
      <x:c r="O169" s="68" t="n">
        <x:v>1</x:v>
      </x:c>
      <x:c r="P169" s="68" t="str">
        <x:v>Attaccanti</x:v>
      </x:c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>
      <x:c r="A170" s="68" t="n">
        <x:v>6215</x:v>
      </x:c>
      <x:c r="B170" s="68" t="str">
        <x:v>A</x:v>
      </x:c>
      <x:c r="C170" s="68" t="str">
        <x:v>Lucca</x:v>
      </x:c>
      <x:c r="D170" s="68" t="str">
        <x:v>Napoli</x:v>
      </x:c>
      <x:c r="E170" s="68" t="str">
        <x:v>Andre</x:v>
      </x:c>
      <x:c r="F170" s="68" t="n">
        <x:v>55</x:v>
      </x:c>
      <x:c r="G170" s="68" t="n">
        <x:v>15</x:v>
      </x:c>
      <x:c r="H170" s="68" t="n">
        <x:v>14</x:v>
      </x:c>
      <x:c r="I170" s="68" t="n">
        <x:f>H170-G170</x:f>
        <x:v>-1</x:v>
      </x:c>
      <x:c r="J170" s="68" t="n">
        <x:v>72</x:v>
      </x:c>
      <x:c r="K170" s="73" t="n">
        <x:f>MAX(1,VLOOKUP(B170,'Parametri Modello'!$A$4:$H$7,2,FALSE)+VLOOKUP(B170,'Parametri Modello'!$A$4:$H$7,3,FALSE)*J170)</x:f>
        <x:v>20.804457814077235</x:v>
      </x:c>
      <x:c r="L170" s="73" t="n">
        <x:f>F170-K170</x:f>
        <x:v>34.19554218592276</x:v>
      </x:c>
      <x:c r="M170" s="75" t="n">
        <x:f>F170/K170</x:f>
        <x:v>2.6436641844511093</x:v>
      </x:c>
      <x:c r="N170" s="75" t="n">
        <x:f>F170/G170</x:f>
        <x:v>3.6666666666666665</x:v>
      </x:c>
      <x:c r="O170" s="68" t="n">
        <x:v>3</x:v>
      </x:c>
      <x:c r="P170" s="68" t="str">
        <x:v>Attaccanti</x:v>
      </x:c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>
      <x:c r="A171" s="68" t="n">
        <x:v>2841</x:v>
      </x:c>
      <x:c r="B171" s="68" t="str">
        <x:v>A</x:v>
      </x:c>
      <x:c r="C171" s="68" t="str">
        <x:v>Vlahovic</x:v>
      </x:c>
      <x:c r="D171" s="68" t="str">
        <x:v>Juventus</x:v>
      </x:c>
      <x:c r="E171" s="68" t="str">
        <x:v>Cri</x:v>
      </x:c>
      <x:c r="F171" s="68" t="n">
        <x:v>53</x:v>
      </x:c>
      <x:c r="G171" s="68" t="n">
        <x:v>24</x:v>
      </x:c>
      <x:c r="H171" s="68" t="n">
        <x:v>26</x:v>
      </x:c>
      <x:c r="I171" s="68" t="n">
        <x:f>H171-G171</x:f>
        <x:v>2</x:v>
      </x:c>
      <x:c r="J171" s="68" t="n">
        <x:v>126</x:v>
      </x:c>
      <x:c r="K171" s="73" t="n">
        <x:f>MAX(1,VLOOKUP(B171,'Parametri Modello'!$A$4:$H$7,2,FALSE)+VLOOKUP(B171,'Parametri Modello'!$A$4:$H$7,3,FALSE)*J171)</x:f>
        <x:v>42.36641364163668</x:v>
      </x:c>
      <x:c r="L171" s="73" t="n">
        <x:f>F171-K171</x:f>
        <x:v>10.633586358363317</x:v>
      </x:c>
      <x:c r="M171" s="75" t="n">
        <x:f>F171/K171</x:f>
        <x:v>1.250990948828222</x:v>
      </x:c>
      <x:c r="N171" s="75" t="n">
        <x:f>F171/G171</x:f>
        <x:v>2.2083333333333335</x:v>
      </x:c>
      <x:c r="O171" s="68" t="n">
        <x:v>2</x:v>
      </x:c>
      <x:c r="P171" s="68" t="str">
        <x:v>Attaccanti</x:v>
      </x:c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>
      <x:c r="A172" s="68" t="n">
        <x:v>6435</x:v>
      </x:c>
      <x:c r="B172" s="68" t="str">
        <x:v>A</x:v>
      </x:c>
      <x:c r="C172" s="68" t="str">
        <x:v>Krstovic</x:v>
      </x:c>
      <x:c r="D172" s="68" t="str">
        <x:v>Atalanta</x:v>
      </x:c>
      <x:c r="E172" s="68" t="str">
        <x:v>Alessio</x:v>
      </x:c>
      <x:c r="F172" s="68" t="n">
        <x:v>52</x:v>
      </x:c>
      <x:c r="G172" s="68" t="n">
        <x:v>20</x:v>
      </x:c>
      <x:c r="H172" s="68" t="n">
        <x:v>20</x:v>
      </x:c>
      <x:c r="I172" s="68" t="n">
        <x:f>H172-G172</x:f>
        <x:v>0</x:v>
      </x:c>
      <x:c r="J172" s="68" t="n">
        <x:v>148</x:v>
      </x:c>
      <x:c r="K172" s="73" t="n">
        <x:f>MAX(1,VLOOKUP(B172,'Parametri Modello'!$A$4:$H$7,2,FALSE)+VLOOKUP(B172,'Parametri Modello'!$A$4:$H$7,3,FALSE)*J172)</x:f>
        <x:v>51.15091416397572</x:v>
      </x:c>
      <x:c r="L172" s="73" t="n">
        <x:f>F172-K172</x:f>
        <x:v>0.8490858360242797</x:v>
      </x:c>
      <x:c r="M172" s="75" t="n">
        <x:f>F172/K172</x:f>
        <x:v>1.0165996219207802</x:v>
      </x:c>
      <x:c r="N172" s="75" t="n">
        <x:f>F172/G172</x:f>
        <x:v>2.6</x:v>
      </x:c>
      <x:c r="O172" s="68" t="n">
        <x:v>1</x:v>
      </x:c>
      <x:c r="P172" s="68" t="str">
        <x:v>Attaccanti</x:v>
      </x:c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>
      <x:c r="A173" s="68" t="n">
        <x:v>7008</x:v>
      </x:c>
      <x:c r="B173" s="68" t="str">
        <x:v>A</x:v>
      </x:c>
      <x:c r="C173" s="68" t="str">
        <x:v>Gimenez</x:v>
      </x:c>
      <x:c r="D173" s="68" t="str">
        <x:v>Milan</x:v>
      </x:c>
      <x:c r="E173" s="68" t="str">
        <x:v>IO</x:v>
      </x:c>
      <x:c r="F173" s="68" t="n">
        <x:v>47</x:v>
      </x:c>
      <x:c r="G173" s="68" t="n">
        <x:v>25</x:v>
      </x:c>
      <x:c r="H173" s="68" t="n">
        <x:v>24</x:v>
      </x:c>
      <x:c r="I173" s="68" t="n">
        <x:f>H173-G173</x:f>
        <x:v>-1</x:v>
      </x:c>
      <x:c r="J173" s="68" t="n">
        <x:v>113</x:v>
      </x:c>
      <x:c r="K173" s="73" t="n">
        <x:f>MAX(1,VLOOKUP(B173,'Parametri Modello'!$A$4:$H$7,2,FALSE)+VLOOKUP(B173,'Parametri Modello'!$A$4:$H$7,3,FALSE)*J173)</x:f>
        <x:v>37.17557242389089</x:v>
      </x:c>
      <x:c r="L173" s="73" t="n">
        <x:f>F173-K173</x:f>
        <x:v>9.824427576109109</x:v>
      </x:c>
      <x:c r="M173" s="75" t="n">
        <x:f>F173/K173</x:f>
        <x:v>1.264271050465263</x:v>
      </x:c>
      <x:c r="N173" s="75" t="n">
        <x:f>F173/G173</x:f>
        <x:v>1.88</x:v>
      </x:c>
      <x:c r="O173" s="68" t="n">
        <x:v>2</x:v>
      </x:c>
      <x:c r="P173" s="68" t="str">
        <x:v>Attaccanti</x:v>
      </x:c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>
      <x:c r="A174" s="68" t="n">
        <x:v>4728</x:v>
      </x:c>
      <x:c r="B174" s="68" t="str">
        <x:v>A</x:v>
      </x:c>
      <x:c r="C174" s="68" t="str">
        <x:v>Nkunku</x:v>
      </x:c>
      <x:c r="D174" s="68" t="str">
        <x:v>Milan</x:v>
      </x:c>
      <x:c r="E174" s="68" t="str">
        <x:v>Simo Q</x:v>
      </x:c>
      <x:c r="F174" s="68" t="n">
        <x:v>47</x:v>
      </x:c>
      <x:c r="G174" s="68" t="n">
        <x:v>20</x:v>
      </x:c>
      <x:c r="H174" s="68" t="n">
        <x:v>20</x:v>
      </x:c>
      <x:c r="I174" s="68" t="n">
        <x:f>H174-G174</x:f>
        <x:v>0</x:v>
      </x:c>
      <x:c r="J174" s="68" t="n">
        <x:v>135</x:v>
      </x:c>
      <x:c r="K174" s="73" t="n">
        <x:f>MAX(1,VLOOKUP(B174,'Parametri Modello'!$A$4:$H$7,2,FALSE)+VLOOKUP(B174,'Parametri Modello'!$A$4:$H$7,3,FALSE)*J174)</x:f>
        <x:v>45.96007294622993</x:v>
      </x:c>
      <x:c r="L174" s="73" t="n">
        <x:f>F174-K174</x:f>
        <x:v>1.0399270537700716</x:v>
      </x:c>
      <x:c r="M174" s="75" t="n">
        <x:f>F174/K174</x:f>
        <x:v>1.0226267494176242</x:v>
      </x:c>
      <x:c r="N174" s="75" t="n">
        <x:f>F174/G174</x:f>
        <x:v>2.35</x:v>
      </x:c>
      <x:c r="O174" s="68" t="n">
        <x:v>2</x:v>
      </x:c>
      <x:c r="P174" s="68" t="str">
        <x:v>Attaccanti</x:v>
      </x:c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>
      <x:c r="A175" s="68" t="n">
        <x:v>6572</x:v>
      </x:c>
      <x:c r="B175" s="68" t="str">
        <x:v>A</x:v>
      </x:c>
      <x:c r="C175" s="68" t="str">
        <x:v>Castro S.</x:v>
      </x:c>
      <x:c r="D175" s="68" t="str">
        <x:v>Bologna</x:v>
      </x:c>
      <x:c r="E175" s="68" t="str">
        <x:v>Carlo</x:v>
      </x:c>
      <x:c r="F175" s="68" t="n">
        <x:v>40</x:v>
      </x:c>
      <x:c r="G175" s="68" t="n">
        <x:v>19</x:v>
      </x:c>
      <x:c r="H175" s="68" t="n">
        <x:v>20</x:v>
      </x:c>
      <x:c r="I175" s="68" t="n">
        <x:f>H175-G175</x:f>
        <x:v>1</x:v>
      </x:c>
      <x:c r="J175" s="68" t="n">
        <x:v>128</x:v>
      </x:c>
      <x:c r="K175" s="73" t="n">
        <x:f>MAX(1,VLOOKUP(B175,'Parametri Modello'!$A$4:$H$7,2,FALSE)+VLOOKUP(B175,'Parametri Modello'!$A$4:$H$7,3,FALSE)*J175)</x:f>
        <x:v>43.16500459821296</x:v>
      </x:c>
      <x:c r="L175" s="73" t="n">
        <x:f>F175-K175</x:f>
        <x:v>-3.1650045982129598</x:v>
      </x:c>
      <x:c r="M175" s="75" t="n">
        <x:f>F175/K175</x:f>
        <x:v>0.9266766069487691</x:v>
      </x:c>
      <x:c r="N175" s="75" t="n">
        <x:f>F175/G175</x:f>
        <x:v>2.1052631578947367</x:v>
      </x:c>
      <x:c r="O175" s="68" t="n">
        <x:v>2</x:v>
      </x:c>
      <x:c r="P175" s="68" t="str">
        <x:v>Attaccanti</x:v>
      </x:c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>
      <x:c r="A176" s="68" t="n">
        <x:v>6314</x:v>
      </x:c>
      <x:c r="B176" s="68" t="str">
        <x:v>A</x:v>
      </x:c>
      <x:c r="C176" s="68" t="str">
        <x:v>Openda</x:v>
      </x:c>
      <x:c r="D176" s="68" t="str">
        <x:v>Juventus</x:v>
      </x:c>
      <x:c r="E176" s="68" t="str">
        <x:v>Marco</x:v>
      </x:c>
      <x:c r="F176" s="68" t="n">
        <x:v>36</x:v>
      </x:c>
      <x:c r="G176" s="68" t="n">
        <x:v>22</x:v>
      </x:c>
      <x:c r="H176" s="68" t="n">
        <x:v>22</x:v>
      </x:c>
      <x:c r="I176" s="68" t="n">
        <x:f>H176-G176</x:f>
        <x:v>0</x:v>
      </x:c>
      <x:c r="J176" s="68" t="n">
        <x:v>147</x:v>
      </x:c>
      <x:c r="K176" s="73" t="n">
        <x:f>MAX(1,VLOOKUP(B176,'Parametri Modello'!$A$4:$H$7,2,FALSE)+VLOOKUP(B176,'Parametri Modello'!$A$4:$H$7,3,FALSE)*J176)</x:f>
        <x:v>50.75161868568758</x:v>
      </x:c>
      <x:c r="L176" s="73" t="n">
        <x:f>F176-K176</x:f>
        <x:v>-14.751618685687582</x:v>
      </x:c>
      <x:c r="M176" s="75" t="n">
        <x:f>F176/K176</x:f>
        <x:v>0.7093369814065128</x:v>
      </x:c>
      <x:c r="N176" s="75" t="n">
        <x:f>F176/G176</x:f>
        <x:v>1.6363636363636365</x:v>
      </x:c>
      <x:c r="O176" s="68" t="n">
        <x:v>2</x:v>
      </x:c>
      <x:c r="P176" s="68" t="str">
        <x:v>Attaccanti</x:v>
      </x:c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>
      <x:c r="A177" s="68" t="n">
        <x:v>5995</x:v>
      </x:c>
      <x:c r="B177" s="68" t="str">
        <x:v>A</x:v>
      </x:c>
      <x:c r="C177" s="68" t="str">
        <x:v>De Ketelaere</x:v>
      </x:c>
      <x:c r="D177" s="68" t="str">
        <x:v>Atalanta</x:v>
      </x:c>
      <x:c r="E177" s="68" t="str">
        <x:v>Cri</x:v>
      </x:c>
      <x:c r="F177" s="68" t="n">
        <x:v>31</x:v>
      </x:c>
      <x:c r="G177" s="68" t="n">
        <x:v>22</x:v>
      </x:c>
      <x:c r="H177" s="68" t="n">
        <x:v>21</x:v>
      </x:c>
      <x:c r="I177" s="68" t="n">
        <x:f>H177-G177</x:f>
        <x:v>-1</x:v>
      </x:c>
      <x:c r="J177" s="68" t="n">
        <x:v>142</x:v>
      </x:c>
      <x:c r="K177" s="73" t="n">
        <x:f>MAX(1,VLOOKUP(B177,'Parametri Modello'!$A$4:$H$7,2,FALSE)+VLOOKUP(B177,'Parametri Modello'!$A$4:$H$7,3,FALSE)*J177)</x:f>
        <x:v>48.75514129424689</x:v>
      </x:c>
      <x:c r="L177" s="73" t="n">
        <x:f>F177-K177</x:f>
        <x:v>-17.75514129424689</x:v>
      </x:c>
      <x:c r="M177" s="75" t="n">
        <x:f>F177/K177</x:f>
        <x:v>0.6358303796702975</x:v>
      </x:c>
      <x:c r="N177" s="75" t="n">
        <x:f>F177/G177</x:f>
        <x:v>1.4090909090909092</x:v>
      </x:c>
      <x:c r="O177" s="68" t="n">
        <x:v>2</x:v>
      </x:c>
      <x:c r="P177" s="68" t="str">
        <x:v>Attaccanti</x:v>
      </x:c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>
      <x:c r="A178" s="68" t="n">
        <x:v>2531</x:v>
      </x:c>
      <x:c r="B178" s="68" t="str">
        <x:v>A</x:v>
      </x:c>
      <x:c r="C178" s="68" t="str">
        <x:v>Lukaku</x:v>
      </x:c>
      <x:c r="D178" s="68" t="str">
        <x:v>Napoli</x:v>
      </x:c>
      <x:c r="E178" s="68" t="str">
        <x:v>Simo Q</x:v>
      </x:c>
      <x:c r="F178" s="68" t="n">
        <x:v>23</x:v>
      </x:c>
      <x:c r="G178" s="68" t="n">
        <x:v>31</x:v>
      </x:c>
      <x:c r="H178" s="68" t="n">
        <x:v>30</x:v>
      </x:c>
      <x:c r="I178" s="68" t="n">
        <x:f>H178-G178</x:f>
        <x:v>-1</x:v>
      </x:c>
      <x:c r="J178" s="68" t="n">
        <x:v>120</x:v>
      </x:c>
      <x:c r="K178" s="73" t="n">
        <x:f>MAX(1,VLOOKUP(B178,'Parametri Modello'!$A$4:$H$7,2,FALSE)+VLOOKUP(B178,'Parametri Modello'!$A$4:$H$7,3,FALSE)*J178)</x:f>
        <x:v>39.97064077190785</x:v>
      </x:c>
      <x:c r="L178" s="73" t="n">
        <x:f>F178-K178</x:f>
        <x:v>-16.970640771907853</x:v>
      </x:c>
      <x:c r="M178" s="75" t="n">
        <x:f>F178/K178</x:f>
        <x:v>0.5754223488997667</x:v>
      </x:c>
      <x:c r="N178" s="75" t="n">
        <x:f>F178/G178</x:f>
        <x:v>0.7419354838709677</x:v>
      </x:c>
      <x:c r="O178" s="68" t="n">
        <x:v>2</x:v>
      </x:c>
      <x:c r="P178" s="68" t="str">
        <x:v>Attaccanti</x:v>
      </x:c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>
      <x:c r="A179" s="68" t="n">
        <x:v>2499</x:v>
      </x:c>
      <x:c r="B179" s="68" t="str">
        <x:v>A</x:v>
      </x:c>
      <x:c r="C179" s="68" t="str">
        <x:v>Vardy</x:v>
      </x:c>
      <x:c r="D179" s="68" t="str">
        <x:v>Cremonese</x:v>
      </x:c>
      <x:c r="E179" s="68" t="str">
        <x:v>Cri</x:v>
      </x:c>
      <x:c r="F179" s="68" t="n">
        <x:v>20</x:v>
      </x:c>
      <x:c r="G179" s="68" t="n">
        <x:v>15</x:v>
      </x:c>
      <x:c r="H179" s="68" t="n">
        <x:v>15</x:v>
      </x:c>
      <x:c r="I179" s="68" t="n">
        <x:f>H179-G179</x:f>
        <x:v>0</x:v>
      </x:c>
      <x:c r="J179" s="68" t="n">
        <x:v>55</x:v>
      </x:c>
      <x:c r="K179" s="73" t="n">
        <x:f>MAX(1,VLOOKUP(B179,'Parametri Modello'!$A$4:$H$7,2,FALSE)+VLOOKUP(B179,'Parametri Modello'!$A$4:$H$7,3,FALSE)*J179)</x:f>
        <x:v>14.01643468317889</x:v>
      </x:c>
      <x:c r="L179" s="73" t="n">
        <x:f>F179-K179</x:f>
        <x:v>5.98356531682111</x:v>
      </x:c>
      <x:c r="M179" s="75" t="n">
        <x:f>F179/K179</x:f>
        <x:v>1.4268963864257136</x:v>
      </x:c>
      <x:c r="N179" s="75" t="n">
        <x:f>F179/G179</x:f>
        <x:v>1.3333333333333333</x:v>
      </x:c>
      <x:c r="O179" s="68" t="n">
        <x:v>3</x:v>
      </x:c>
      <x:c r="P179" s="68" t="str">
        <x:v>Attaccanti</x:v>
      </x:c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>
      <x:c r="A180" s="68" t="n">
        <x:v>608</x:v>
      </x:c>
      <x:c r="B180" s="68" t="str">
        <x:v>A</x:v>
      </x:c>
      <x:c r="C180" s="68" t="str">
        <x:v>Zapata D.</x:v>
      </x:c>
      <x:c r="D180" s="68" t="str">
        <x:v>Torino</x:v>
      </x:c>
      <x:c r="E180" s="68" t="str">
        <x:v>IO</x:v>
      </x:c>
      <x:c r="F180" s="68" t="n">
        <x:v>19</x:v>
      </x:c>
      <x:c r="G180" s="68" t="n">
        <x:v>20</x:v>
      </x:c>
      <x:c r="H180" s="68" t="n">
        <x:v>19</x:v>
      </x:c>
      <x:c r="I180" s="68" t="n">
        <x:f>H180-G180</x:f>
        <x:v>-1</x:v>
      </x:c>
      <x:c r="J180" s="68" t="n">
        <x:v>90</x:v>
      </x:c>
      <x:c r="K180" s="73" t="n">
        <x:f>MAX(1,VLOOKUP(B180,'Parametri Modello'!$A$4:$H$7,2,FALSE)+VLOOKUP(B180,'Parametri Modello'!$A$4:$H$7,3,FALSE)*J180)</x:f>
        <x:v>27.991776423263715</x:v>
      </x:c>
      <x:c r="L180" s="73" t="n">
        <x:f>F180-K180</x:f>
        <x:v>-8.991776423263715</x:v>
      </x:c>
      <x:c r="M180" s="75" t="n">
        <x:f>F180/K180</x:f>
        <x:v>0.678770782986437</x:v>
      </x:c>
      <x:c r="N180" s="75" t="n">
        <x:f>F180/G180</x:f>
        <x:v>0.95</x:v>
      </x:c>
      <x:c r="O180" s="68" t="n">
        <x:v>3</x:v>
      </x:c>
      <x:c r="P180" s="68" t="str">
        <x:v>Attaccanti</x:v>
      </x:c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>
      <x:c r="A181" s="68" t="n">
        <x:v>5637</x:v>
      </x:c>
      <x:c r="B181" s="68" t="str">
        <x:v>A</x:v>
      </x:c>
      <x:c r="C181" s="68" t="str">
        <x:v>Davis K.</x:v>
      </x:c>
      <x:c r="D181" s="68" t="str">
        <x:v>Udinese</x:v>
      </x:c>
      <x:c r="E181" s="68" t="str">
        <x:v>IO</x:v>
      </x:c>
      <x:c r="F181" s="68" t="n">
        <x:v>18</x:v>
      </x:c>
      <x:c r="G181" s="68" t="n">
        <x:v>12</x:v>
      </x:c>
      <x:c r="H181" s="68" t="n">
        <x:v>13</x:v>
      </x:c>
      <x:c r="I181" s="68" t="n">
        <x:f>H181-G181</x:f>
        <x:v>1</x:v>
      </x:c>
      <x:c r="J181" s="68" t="n">
        <x:v>50</x:v>
      </x:c>
      <x:c r="K181" s="73" t="n">
        <x:f>MAX(1,VLOOKUP(B181,'Parametri Modello'!$A$4:$H$7,2,FALSE)+VLOOKUP(B181,'Parametri Modello'!$A$4:$H$7,3,FALSE)*J181)</x:f>
        <x:v>12.019957291738201</x:v>
      </x:c>
      <x:c r="L181" s="73" t="n">
        <x:f>F181-K181</x:f>
        <x:v>5.980042708261799</x:v>
      </x:c>
      <x:c r="M181" s="75" t="n">
        <x:f>F181/K181</x:f>
        <x:v>1.4975094805346871</x:v>
      </x:c>
      <x:c r="N181" s="75" t="n">
        <x:f>F181/G181</x:f>
        <x:v>1.5</x:v>
      </x:c>
      <x:c r="O181" s="68" t="n">
        <x:v>3</x:v>
      </x:c>
      <x:c r="P181" s="68" t="str">
        <x:v>Attaccanti</x:v>
      </x:c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>
      <x:c r="A182" s="68" t="n">
        <x:v>7017</x:v>
      </x:c>
      <x:c r="B182" s="68" t="str">
        <x:v>A</x:v>
      </x:c>
      <x:c r="C182" s="68" t="str">
        <x:v>Douvikas</x:v>
      </x:c>
      <x:c r="D182" s="68" t="str">
        <x:v>Como</x:v>
      </x:c>
      <x:c r="E182" s="68" t="str">
        <x:v>Carlo</x:v>
      </x:c>
      <x:c r="F182" s="68" t="n">
        <x:v>17</x:v>
      </x:c>
      <x:c r="G182" s="68" t="n">
        <x:v>8</x:v>
      </x:c>
      <x:c r="H182" s="68" t="n">
        <x:v>9</x:v>
      </x:c>
      <x:c r="I182" s="68" t="n">
        <x:f>H182-G182</x:f>
        <x:v>1</x:v>
      </x:c>
      <x:c r="J182" s="68" t="n">
        <x:v>30</x:v>
      </x:c>
      <x:c r="K182" s="73" t="n">
        <x:f>MAX(1,VLOOKUP(B182,'Parametri Modello'!$A$4:$H$7,2,FALSE)+VLOOKUP(B182,'Parametri Modello'!$A$4:$H$7,3,FALSE)*J182)</x:f>
        <x:v>4.034047725975441</x:v>
      </x:c>
      <x:c r="L182" s="73" t="n">
        <x:f>F182-K182</x:f>
        <x:v>12.96595227402456</x:v>
      </x:c>
      <x:c r="M182" s="75" t="n">
        <x:f>F182/K182</x:f>
        <x:v>4.214129617390524</x:v>
      </x:c>
      <x:c r="N182" s="75" t="n">
        <x:f>F182/G182</x:f>
        <x:v>2.125</x:v>
      </x:c>
      <x:c r="O182" s="68" t="n">
        <x:v>4</x:v>
      </x:c>
      <x:c r="P182" s="68" t="str">
        <x:v>Attaccanti</x:v>
      </x:c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>
      <x:c r="A183" s="68" t="n">
        <x:v>2038</x:v>
      </x:c>
      <x:c r="B183" s="68" t="str">
        <x:v>A</x:v>
      </x:c>
      <x:c r="C183" s="68" t="str">
        <x:v>Pinamonti</x:v>
      </x:c>
      <x:c r="D183" s="68" t="str">
        <x:v>Sassuolo</x:v>
      </x:c>
      <x:c r="E183" s="68" t="str">
        <x:v>IO</x:v>
      </x:c>
      <x:c r="F183" s="68" t="n">
        <x:v>13</x:v>
      </x:c>
      <x:c r="G183" s="68" t="n">
        <x:v>16</x:v>
      </x:c>
      <x:c r="H183" s="68" t="n">
        <x:v>16</x:v>
      </x:c>
      <x:c r="I183" s="68" t="n">
        <x:f>H183-G183</x:f>
        <x:v>0</x:v>
      </x:c>
      <x:c r="J183" s="68" t="n">
        <x:v>82</x:v>
      </x:c>
      <x:c r="K183" s="73" t="n">
        <x:f>MAX(1,VLOOKUP(B183,'Parametri Modello'!$A$4:$H$7,2,FALSE)+VLOOKUP(B183,'Parametri Modello'!$A$4:$H$7,3,FALSE)*J183)</x:f>
        <x:v>24.797412596958615</x:v>
      </x:c>
      <x:c r="L183" s="73" t="n">
        <x:f>F183-K183</x:f>
        <x:v>-11.797412596958615</x:v>
      </x:c>
      <x:c r="M183" s="75" t="n">
        <x:f>F183/K183</x:f>
        <x:v>0.5242482436088691</x:v>
      </x:c>
      <x:c r="N183" s="75" t="n">
        <x:f>F183/G183</x:f>
        <x:v>0.8125</x:v>
      </x:c>
      <x:c r="O183" s="68" t="n">
        <x:v>3</x:v>
      </x:c>
      <x:c r="P183" s="68" t="str">
        <x:v>Attaccanti</x:v>
      </x:c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>
      <x:c r="A184" s="68" t="n">
        <x:v>7120</x:v>
      </x:c>
      <x:c r="B184" s="68" t="str">
        <x:v>A</x:v>
      </x:c>
      <x:c r="C184" s="68" t="str">
        <x:v>Lang</x:v>
      </x:c>
      <x:c r="D184" s="68" t="str">
        <x:v>Napoli</x:v>
      </x:c>
      <x:c r="E184" s="68" t="str">
        <x:v>Nicola</x:v>
      </x:c>
      <x:c r="F184" s="68" t="n">
        <x:v>11</x:v>
      </x:c>
      <x:c r="G184" s="68" t="n">
        <x:v>19</x:v>
      </x:c>
      <x:c r="H184" s="68" t="n">
        <x:v>18</x:v>
      </x:c>
      <x:c r="I184" s="68" t="n">
        <x:f>H184-G184</x:f>
        <x:v>-1</x:v>
      </x:c>
      <x:c r="J184" s="68" t="n">
        <x:v>47</x:v>
      </x:c>
      <x:c r="K184" s="73" t="n">
        <x:f>MAX(1,VLOOKUP(B184,'Parametri Modello'!$A$4:$H$7,2,FALSE)+VLOOKUP(B184,'Parametri Modello'!$A$4:$H$7,3,FALSE)*J184)</x:f>
        <x:v>10.822070856873786</x:v>
      </x:c>
      <x:c r="L184" s="73" t="n">
        <x:f>F184-K184</x:f>
        <x:v>0.17792914312621377</x:v>
      </x:c>
      <x:c r="M184" s="75" t="n">
        <x:f>F184/K184</x:f>
        <x:v>1.016441321211014</x:v>
      </x:c>
      <x:c r="N184" s="75" t="n">
        <x:f>F184/G184</x:f>
        <x:v>0.5789473684210527</x:v>
      </x:c>
      <x:c r="O184" s="68" t="n">
        <x:v>3</x:v>
      </x:c>
      <x:c r="P184" s="68" t="str">
        <x:v>Attaccanti</x:v>
      </x:c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>
      <x:c r="A185" s="68" t="n">
        <x:v>785</x:v>
      </x:c>
      <x:c r="B185" s="68" t="str">
        <x:v>A</x:v>
      </x:c>
      <x:c r="C185" s="68" t="str">
        <x:v>Immobile</x:v>
      </x:c>
      <x:c r="D185" s="68" t="str">
        <x:v>Bologna</x:v>
      </x:c>
      <x:c r="E185" s="68" t="str">
        <x:v>Carlo</x:v>
      </x:c>
      <x:c r="F185" s="68" t="n">
        <x:v>10</x:v>
      </x:c>
      <x:c r="G185" s="68" t="n">
        <x:v>19</x:v>
      </x:c>
      <x:c r="H185" s="68" t="n">
        <x:v>19</x:v>
      </x:c>
      <x:c r="I185" s="68" t="n">
        <x:f>H185-G185</x:f>
        <x:v>0</x:v>
      </x:c>
      <x:c r="J185" s="68" t="n">
        <x:v>100</x:v>
      </x:c>
      <x:c r="K185" s="73" t="n">
        <x:f>MAX(1,VLOOKUP(B185,'Parametri Modello'!$A$4:$H$7,2,FALSE)+VLOOKUP(B185,'Parametri Modello'!$A$4:$H$7,3,FALSE)*J185)</x:f>
        <x:v>31.9847312061451</x:v>
      </x:c>
      <x:c r="L185" s="73" t="n">
        <x:f>F185-K185</x:f>
        <x:v>-21.9847312061451</x:v>
      </x:c>
      <x:c r="M185" s="75" t="n">
        <x:f>F185/K185</x:f>
        <x:v>0.3126491804964345</x:v>
      </x:c>
      <x:c r="N185" s="75" t="n">
        <x:f>F185/G185</x:f>
        <x:v>0.5263157894736842</x:v>
      </x:c>
      <x:c r="O185" s="68" t="n">
        <x:v>2</x:v>
      </x:c>
      <x:c r="P185" s="68" t="str">
        <x:v>Attaccanti</x:v>
      </x:c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>
      <x:c r="A186" s="68" t="n">
        <x:v>6060</x:v>
      </x:c>
      <x:c r="B186" s="68" t="str">
        <x:v>A</x:v>
      </x:c>
      <x:c r="C186" s="68" t="str">
        <x:v>Laurientè</x:v>
      </x:c>
      <x:c r="D186" s="68" t="str">
        <x:v>Sassuolo</x:v>
      </x:c>
      <x:c r="E186" s="68" t="str">
        <x:v>Cri</x:v>
      </x:c>
      <x:c r="F186" s="68" t="n">
        <x:v>10</x:v>
      </x:c>
      <x:c r="G186" s="68" t="n">
        <x:v>15</x:v>
      </x:c>
      <x:c r="H186" s="68" t="n">
        <x:v>14</x:v>
      </x:c>
      <x:c r="I186" s="68" t="n">
        <x:f>H186-G186</x:f>
        <x:v>-1</x:v>
      </x:c>
      <x:c r="J186" s="68" t="n">
        <x:v>47</x:v>
      </x:c>
      <x:c r="K186" s="73" t="n">
        <x:f>MAX(1,VLOOKUP(B186,'Parametri Modello'!$A$4:$H$7,2,FALSE)+VLOOKUP(B186,'Parametri Modello'!$A$4:$H$7,3,FALSE)*J186)</x:f>
        <x:v>10.822070856873786</x:v>
      </x:c>
      <x:c r="L186" s="73" t="n">
        <x:f>F186-K186</x:f>
        <x:v>-0.8220708568737862</x:v>
      </x:c>
      <x:c r="M186" s="75" t="n">
        <x:f>F186/K186</x:f>
        <x:v>0.9240375647372853</x:v>
      </x:c>
      <x:c r="N186" s="75" t="n">
        <x:f>F186/G186</x:f>
        <x:v>0.6666666666666666</x:v>
      </x:c>
      <x:c r="O186" s="68" t="n">
        <x:v>3</x:v>
      </x:c>
      <x:c r="P186" s="68" t="str">
        <x:v>Attaccanti</x:v>
      </x:c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>
      <x:c r="A187" s="68" t="n">
        <x:v>4359</x:v>
      </x:c>
      <x:c r="B187" s="68" t="str">
        <x:v>A</x:v>
      </x:c>
      <x:c r="C187" s="68" t="str">
        <x:v>Piccoli</x:v>
      </x:c>
      <x:c r="D187" s="68" t="str">
        <x:v>Fiorentina</x:v>
      </x:c>
      <x:c r="E187" s="68" t="str">
        <x:v>Andre</x:v>
      </x:c>
      <x:c r="F187" s="68" t="n">
        <x:v>9</x:v>
      </x:c>
      <x:c r="G187" s="68" t="n">
        <x:v>17</x:v>
      </x:c>
      <x:c r="H187" s="68" t="n">
        <x:v>17</x:v>
      </x:c>
      <x:c r="I187" s="68" t="n">
        <x:f>H187-G187</x:f>
        <x:v>0</x:v>
      </x:c>
      <x:c r="J187" s="68" t="n">
        <x:v>80</x:v>
      </x:c>
      <x:c r="K187" s="73" t="n">
        <x:f>MAX(1,VLOOKUP(B187,'Parametri Modello'!$A$4:$H$7,2,FALSE)+VLOOKUP(B187,'Parametri Modello'!$A$4:$H$7,3,FALSE)*J187)</x:f>
        <x:v>23.99882164038234</x:v>
      </x:c>
      <x:c r="L187" s="73" t="n">
        <x:f>F187-K187</x:f>
        <x:v>-14.998821640382339</x:v>
      </x:c>
      <x:c r="M187" s="75" t="n">
        <x:f>F187/K187</x:f>
        <x:v>0.37501841277306214</x:v>
      </x:c>
      <x:c r="N187" s="75" t="n">
        <x:f>F187/G187</x:f>
        <x:v>0.5294117647058824</x:v>
      </x:c>
      <x:c r="O187" s="68" t="n">
        <x:v>3</x:v>
      </x:c>
      <x:c r="P187" s="68" t="str">
        <x:v>Attaccanti</x:v>
      </x:c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>
      <x:c r="A188" s="68" t="n">
        <x:v>5672</x:v>
      </x:c>
      <x:c r="B188" s="68" t="str">
        <x:v>A</x:v>
      </x:c>
      <x:c r="C188" s="68" t="str">
        <x:v>Dia</x:v>
      </x:c>
      <x:c r="D188" s="68" t="str">
        <x:v>Lazio</x:v>
      </x:c>
      <x:c r="E188" s="68" t="str">
        <x:v>Nicola</x:v>
      </x:c>
      <x:c r="F188" s="68" t="n">
        <x:v>8</x:v>
      </x:c>
      <x:c r="G188" s="68" t="n">
        <x:v>20</x:v>
      </x:c>
      <x:c r="H188" s="68" t="n">
        <x:v>21</x:v>
      </x:c>
      <x:c r="I188" s="68" t="n">
        <x:f>H188-G188</x:f>
        <x:v>1</x:v>
      </x:c>
      <x:c r="J188" s="68" t="n">
        <x:v>102</x:v>
      </x:c>
      <x:c r="K188" s="73" t="n">
        <x:f>MAX(1,VLOOKUP(B188,'Parametri Modello'!$A$4:$H$7,2,FALSE)+VLOOKUP(B188,'Parametri Modello'!$A$4:$H$7,3,FALSE)*J188)</x:f>
        <x:v>32.783322162721376</x:v>
      </x:c>
      <x:c r="L188" s="73" t="n">
        <x:f>F188-K188</x:f>
        <x:v>-24.783322162721376</x:v>
      </x:c>
      <x:c r="M188" s="75" t="n">
        <x:f>F188/K188</x:f>
        <x:v>0.24402651934699202</x:v>
      </x:c>
      <x:c r="N188" s="75" t="n">
        <x:f>F188/G188</x:f>
        <x:v>0.4</x:v>
      </x:c>
      <x:c r="O188" s="68" t="n">
        <x:v>2</x:v>
      </x:c>
      <x:c r="P188" s="68" t="str">
        <x:v>Attaccanti</x:v>
      </x:c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>
      <x:c r="A189" s="68" t="n">
        <x:v>7023</x:v>
      </x:c>
      <x:c r="B189" s="68" t="str">
        <x:v>A</x:v>
      </x:c>
      <x:c r="C189" s="68" t="str">
        <x:v>Pellegrino M.</x:v>
      </x:c>
      <x:c r="D189" s="68" t="str">
        <x:v>Parma</x:v>
      </x:c>
      <x:c r="E189" s="68" t="str">
        <x:v>Alessio</x:v>
      </x:c>
      <x:c r="F189" s="68" t="n">
        <x:v>7</x:v>
      </x:c>
      <x:c r="G189" s="68" t="n">
        <x:v>13</x:v>
      </x:c>
      <x:c r="H189" s="68" t="n">
        <x:v>13</x:v>
      </x:c>
      <x:c r="I189" s="68" t="n">
        <x:f>H189-G189</x:f>
        <x:v>0</x:v>
      </x:c>
      <x:c r="J189" s="68" t="n">
        <x:v>70</x:v>
      </x:c>
      <x:c r="K189" s="73" t="n">
        <x:f>MAX(1,VLOOKUP(B189,'Parametri Modello'!$A$4:$H$7,2,FALSE)+VLOOKUP(B189,'Parametri Modello'!$A$4:$H$7,3,FALSE)*J189)</x:f>
        <x:v>20.00586685750096</x:v>
      </x:c>
      <x:c r="L189" s="73" t="n">
        <x:f>F189-K189</x:f>
        <x:v>-13.005866857500958</x:v>
      </x:c>
      <x:c r="M189" s="75" t="n">
        <x:f>F189/K189</x:f>
        <x:v>0.3498973601024159</x:v>
      </x:c>
      <x:c r="N189" s="75" t="n">
        <x:f>F189/G189</x:f>
        <x:v>0.5384615384615384</x:v>
      </x:c>
      <x:c r="O189" s="68" t="n">
        <x:v>3</x:v>
      </x:c>
      <x:c r="P189" s="68" t="str">
        <x:v>Attaccanti</x:v>
      </x:c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>
      <x:c r="A190" s="68" t="n">
        <x:v>7129</x:v>
      </x:c>
      <x:c r="B190" s="68" t="str">
        <x:v>A</x:v>
      </x:c>
      <x:c r="C190" s="68" t="str">
        <x:v>Rodriguez Je.</x:v>
      </x:c>
      <x:c r="D190" s="68" t="str">
        <x:v>Como</x:v>
      </x:c>
      <x:c r="E190" s="68" t="str">
        <x:v>Marco</x:v>
      </x:c>
      <x:c r="F190" s="68" t="n">
        <x:v>7</x:v>
      </x:c>
      <x:c r="G190" s="68" t="n">
        <x:v>5</x:v>
      </x:c>
      <x:c r="H190" s="68" t="n">
        <x:v>6</x:v>
      </x:c>
      <x:c r="I190" s="68" t="n">
        <x:f>H190-G190</x:f>
        <x:v>1</x:v>
      </x:c>
      <x:c r="J190" s="68" t="n">
        <x:v>18</x:v>
      </x:c>
      <x:c r="K190" s="73" t="n">
        <x:f>MAX(1,VLOOKUP(B190,'Parametri Modello'!$A$4:$H$7,2,FALSE)+VLOOKUP(B190,'Parametri Modello'!$A$4:$H$7,3,FALSE)*J190)</x:f>
        <x:v>1</x:v>
      </x:c>
      <x:c r="L190" s="73" t="n">
        <x:f>F190-K190</x:f>
        <x:v>6</x:v>
      </x:c>
      <x:c r="M190" s="75" t="n">
        <x:f>F190/K190</x:f>
        <x:v>7</x:v>
      </x:c>
      <x:c r="N190" s="75" t="n">
        <x:f>F190/G190</x:f>
        <x:v>1.4</x:v>
      </x:c>
      <x:c r="O190" s="68" t="n">
        <x:v>4</x:v>
      </x:c>
      <x:c r="P190" s="68" t="str">
        <x:v>Attaccanti</x:v>
      </x:c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>
      <x:c r="A191" s="68" t="n">
        <x:v>441</x:v>
      </x:c>
      <x:c r="B191" s="68" t="str">
        <x:v>A</x:v>
      </x:c>
      <x:c r="C191" s="68" t="str">
        <x:v>Belotti</x:v>
      </x:c>
      <x:c r="D191" s="68" t="str">
        <x:v>Cagliari</x:v>
      </x:c>
      <x:c r="E191" s="68" t="str">
        <x:v>Alessio</x:v>
      </x:c>
      <x:c r="F191" s="68" t="n">
        <x:v>5</x:v>
      </x:c>
      <x:c r="G191" s="68" t="n">
        <x:v>12</x:v>
      </x:c>
      <x:c r="H191" s="68" t="n">
        <x:v>12</x:v>
      </x:c>
      <x:c r="I191" s="68" t="n">
        <x:f>H191-G191</x:f>
        <x:v>0</x:v>
      </x:c>
      <x:c r="J191" s="68" t="n">
        <x:v>22</x:v>
      </x:c>
      <x:c r="K191" s="73" t="n">
        <x:f>MAX(1,VLOOKUP(B191,'Parametri Modello'!$A$4:$H$7,2,FALSE)+VLOOKUP(B191,'Parametri Modello'!$A$4:$H$7,3,FALSE)*J191)</x:f>
        <x:v>1</x:v>
      </x:c>
      <x:c r="L191" s="73" t="n">
        <x:f>F191-K191</x:f>
        <x:v>4</x:v>
      </x:c>
      <x:c r="M191" s="75" t="n">
        <x:f>F191/K191</x:f>
        <x:v>5</x:v>
      </x:c>
      <x:c r="N191" s="75" t="n">
        <x:f>F191/G191</x:f>
        <x:v>0.4166666666666667</x:v>
      </x:c>
      <x:c r="O191" s="68" t="n">
        <x:v>4</x:v>
      </x:c>
      <x:c r="P191" s="68" t="str">
        <x:v>Attaccanti</x:v>
      </x:c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>
      <x:c r="A192" s="68" t="n">
        <x:v>4923</x:v>
      </x:c>
      <x:c r="B192" s="68" t="str">
        <x:v>A</x:v>
      </x:c>
      <x:c r="C192" s="68" t="str">
        <x:v>Colombo</x:v>
      </x:c>
      <x:c r="D192" s="68" t="str">
        <x:v>Genoa</x:v>
      </x:c>
      <x:c r="E192" s="68" t="str">
        <x:v>Carlo</x:v>
      </x:c>
      <x:c r="F192" s="68" t="n">
        <x:v>5</x:v>
      </x:c>
      <x:c r="G192" s="68" t="n">
        <x:v>12</x:v>
      </x:c>
      <x:c r="H192" s="68" t="n">
        <x:v>11</x:v>
      </x:c>
      <x:c r="I192" s="68" t="n">
        <x:f>H192-G192</x:f>
        <x:v>-1</x:v>
      </x:c>
      <x:c r="J192" s="68" t="n">
        <x:v>41</x:v>
      </x:c>
      <x:c r="K192" s="73" t="n">
        <x:f>MAX(1,VLOOKUP(B192,'Parametri Modello'!$A$4:$H$7,2,FALSE)+VLOOKUP(B192,'Parametri Modello'!$A$4:$H$7,3,FALSE)*J192)</x:f>
        <x:v>8.42629798714496</x:v>
      </x:c>
      <x:c r="L192" s="73" t="n">
        <x:f>F192-K192</x:f>
        <x:v>-3.4262979871449595</x:v>
      </x:c>
      <x:c r="M192" s="75" t="n">
        <x:f>F192/K192</x:f>
        <x:v>0.5933803916770958</x:v>
      </x:c>
      <x:c r="N192" s="75" t="n">
        <x:f>F192/G192</x:f>
        <x:v>0.4166666666666667</x:v>
      </x:c>
      <x:c r="O192" s="68" t="n">
        <x:v>4</x:v>
      </x:c>
      <x:c r="P192" s="68" t="str">
        <x:v>Attaccanti</x:v>
      </x:c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>
      <x:c r="A193" s="68" t="n">
        <x:v>4463</x:v>
      </x:c>
      <x:c r="B193" s="68" t="str">
        <x:v>A</x:v>
      </x:c>
      <x:c r="C193" s="68" t="str">
        <x:v>Esposito Se.</x:v>
      </x:c>
      <x:c r="D193" s="68" t="str">
        <x:v>Cagliari</x:v>
      </x:c>
      <x:c r="E193" s="68" t="str">
        <x:v>Alessio</x:v>
      </x:c>
      <x:c r="F193" s="68" t="n">
        <x:v>5</x:v>
      </x:c>
      <x:c r="G193" s="68" t="n">
        <x:v>7</x:v>
      </x:c>
      <x:c r="H193" s="68" t="n">
        <x:v>7</x:v>
      </x:c>
      <x:c r="I193" s="68" t="n">
        <x:f>H193-G193</x:f>
        <x:v>0</x:v>
      </x:c>
      <x:c r="J193" s="68" t="n">
        <x:v>66</x:v>
      </x:c>
      <x:c r="K193" s="73" t="n">
        <x:f>MAX(1,VLOOKUP(B193,'Parametri Modello'!$A$4:$H$7,2,FALSE)+VLOOKUP(B193,'Parametri Modello'!$A$4:$H$7,3,FALSE)*J193)</x:f>
        <x:v>18.40868494434841</x:v>
      </x:c>
      <x:c r="L193" s="73" t="n">
        <x:f>F193-K193</x:f>
        <x:v>-13.408684944348408</x:v>
      </x:c>
      <x:c r="M193" s="75" t="n">
        <x:f>F193/K193</x:f>
        <x:v>0.27161092794599834</x:v>
      </x:c>
      <x:c r="N193" s="75" t="n">
        <x:f>F193/G193</x:f>
        <x:v>0.7142857142857143</x:v>
      </x:c>
      <x:c r="O193" s="68" t="n">
        <x:v>3</x:v>
      </x:c>
      <x:c r="P193" s="68" t="str">
        <x:v>Attaccanti</x:v>
      </x:c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>
      <x:c r="A194" s="68" t="n">
        <x:v>313</x:v>
      </x:c>
      <x:c r="B194" s="68" t="str">
        <x:v>A</x:v>
      </x:c>
      <x:c r="C194" s="68" t="str">
        <x:v>Morata</x:v>
      </x:c>
      <x:c r="D194" s="68" t="str">
        <x:v>Como</x:v>
      </x:c>
      <x:c r="E194" s="68" t="str">
        <x:v>Nicola</x:v>
      </x:c>
      <x:c r="F194" s="68" t="n">
        <x:v>2</x:v>
      </x:c>
      <x:c r="G194" s="68" t="n">
        <x:v>18</x:v>
      </x:c>
      <x:c r="H194" s="68" t="n">
        <x:v>18</x:v>
      </x:c>
      <x:c r="I194" s="68" t="n">
        <x:f>H194-G194</x:f>
        <x:v>0</x:v>
      </x:c>
      <x:c r="J194" s="68" t="n">
        <x:v>78</x:v>
      </x:c>
      <x:c r="K194" s="73" t="n">
        <x:f>MAX(1,VLOOKUP(B194,'Parametri Modello'!$A$4:$H$7,2,FALSE)+VLOOKUP(B194,'Parametri Modello'!$A$4:$H$7,3,FALSE)*J194)</x:f>
        <x:v>23.200230683806062</x:v>
      </x:c>
      <x:c r="L194" s="73" t="n">
        <x:f>F194-K194</x:f>
        <x:v>-21.200230683806062</x:v>
      </x:c>
      <x:c r="M194" s="75" t="n">
        <x:f>F194/K194</x:f>
        <x:v>0.08620603938201421</x:v>
      </x:c>
      <x:c r="N194" s="75" t="n">
        <x:f>F194/G194</x:f>
        <x:v>0.1111111111111111</x:v>
      </x:c>
      <x:c r="O194" s="68" t="n">
        <x:v>3</x:v>
      </x:c>
      <x:c r="P194" s="68" t="str">
        <x:v>Attaccanti</x:v>
      </x:c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>
      <x:c r="A195" s="68" t="n">
        <x:v>2489</x:v>
      </x:c>
      <x:c r="B195" s="68" t="str">
        <x:v>A</x:v>
      </x:c>
      <x:c r="C195" s="68" t="str">
        <x:v>Pedro</x:v>
      </x:c>
      <x:c r="D195" s="68" t="str">
        <x:v>Lazio</x:v>
      </x:c>
      <x:c r="E195" s="68" t="str">
        <x:v>Cri</x:v>
      </x:c>
      <x:c r="F195" s="68" t="n">
        <x:v>2</x:v>
      </x:c>
      <x:c r="G195" s="68" t="n">
        <x:v>13</x:v>
      </x:c>
      <x:c r="H195" s="68" t="n">
        <x:v>13</x:v>
      </x:c>
      <x:c r="I195" s="68" t="n">
        <x:f>H195-G195</x:f>
        <x:v>0</x:v>
      </x:c>
      <x:c r="J195" s="68" t="n">
        <x:v>35</x:v>
      </x:c>
      <x:c r="K195" s="73" t="n">
        <x:f>MAX(1,VLOOKUP(B195,'Parametri Modello'!$A$4:$H$7,2,FALSE)+VLOOKUP(B195,'Parametri Modello'!$A$4:$H$7,3,FALSE)*J195)</x:f>
        <x:v>6.030525117416131</x:v>
      </x:c>
      <x:c r="L195" s="73" t="n">
        <x:f>F195-K195</x:f>
        <x:v>-4.030525117416131</x:v>
      </x:c>
      <x:c r="M195" s="75" t="n">
        <x:f>F195/K195</x:f>
        <x:v>0.33164607742433716</x:v>
      </x:c>
      <x:c r="N195" s="75" t="n">
        <x:f>F195/G195</x:f>
        <x:v>0.15384615384615385</x:v>
      </x:c>
      <x:c r="O195" s="68" t="n">
        <x:v>4</x:v>
      </x:c>
      <x:c r="P195" s="68" t="str">
        <x:v>Attaccanti</x:v>
      </x:c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>
      <x:c r="A196" s="68" t="n">
        <x:v>6669</x:v>
      </x:c>
      <x:c r="B196" s="68" t="str">
        <x:v>A</x:v>
      </x:c>
      <x:c r="C196" s="68" t="str">
        <x:v>Bonny</x:v>
      </x:c>
      <x:c r="D196" s="68" t="str">
        <x:v>Inter</x:v>
      </x:c>
      <x:c r="E196" s="68" t="str">
        <x:v>Marco</x:v>
      </x:c>
      <x:c r="F196" s="68" t="n">
        <x:v>1</x:v>
      </x:c>
      <x:c r="G196" s="68" t="n">
        <x:v>5</x:v>
      </x:c>
      <x:c r="H196" s="68" t="n">
        <x:v>7</x:v>
      </x:c>
      <x:c r="I196" s="68" t="n">
        <x:f>H196-G196</x:f>
        <x:v>2</x:v>
      </x:c>
      <x:c r="J196" s="68" t="n">
        <x:v>37</x:v>
      </x:c>
      <x:c r="K196" s="73" t="n">
        <x:f>MAX(1,VLOOKUP(B196,'Parametri Modello'!$A$4:$H$7,2,FALSE)+VLOOKUP(B196,'Parametri Modello'!$A$4:$H$7,3,FALSE)*J196)</x:f>
        <x:v>6.829116073992408</x:v>
      </x:c>
      <x:c r="L196" s="73" t="n">
        <x:f>F196-K196</x:f>
        <x:v>-5.829116073992408</x:v>
      </x:c>
      <x:c r="M196" s="75" t="n">
        <x:f>F196/K196</x:f>
        <x:v>0.14643183527196726</x:v>
      </x:c>
      <x:c r="N196" s="75" t="n">
        <x:f>F196/G196</x:f>
        <x:v>0.2</x:v>
      </x:c>
      <x:c r="O196" s="68" t="n">
        <x:v>4</x:v>
      </x:c>
      <x:c r="P196" s="68" t="str">
        <x:v>Attaccanti</x:v>
      </x:c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>
      <x:c r="A197" s="68" t="n">
        <x:v>6519</x:v>
      </x:c>
      <x:c r="B197" s="68" t="str">
        <x:v>A</x:v>
      </x:c>
      <x:c r="C197" s="68" t="str">
        <x:v>Camarda</x:v>
      </x:c>
      <x:c r="D197" s="68" t="str">
        <x:v>Lecce</x:v>
      </x:c>
      <x:c r="E197" s="68" t="str">
        <x:v>Nicola</x:v>
      </x:c>
      <x:c r="F197" s="68" t="n">
        <x:v>1</x:v>
      </x:c>
      <x:c r="G197" s="68" t="n">
        <x:v>12</x:v>
      </x:c>
      <x:c r="H197" s="68" t="n">
        <x:v>11</x:v>
      </x:c>
      <x:c r="I197" s="68" t="n">
        <x:f>H197-G197</x:f>
        <x:v>-1</x:v>
      </x:c>
      <x:c r="J197" s="68" t="n">
        <x:v>22</x:v>
      </x:c>
      <x:c r="K197" s="73" t="n">
        <x:f>MAX(1,VLOOKUP(B197,'Parametri Modello'!$A$4:$H$7,2,FALSE)+VLOOKUP(B197,'Parametri Modello'!$A$4:$H$7,3,FALSE)*J197)</x:f>
        <x:v>1</x:v>
      </x:c>
      <x:c r="L197" s="73" t="n">
        <x:f>F197-K197</x:f>
        <x:v>0</x:v>
      </x:c>
      <x:c r="M197" s="75" t="n">
        <x:f>F197/K197</x:f>
        <x:v>1</x:v>
      </x:c>
      <x:c r="N197" s="75" t="n">
        <x:f>F197/G197</x:f>
        <x:v>0.08333333333333333</x:v>
      </x:c>
      <x:c r="O197" s="68" t="n">
        <x:v>4</x:v>
      </x:c>
      <x:c r="P197" s="68" t="str">
        <x:v>Attaccanti</x:v>
      </x:c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>
      <x:c r="A198" s="68" t="n">
        <x:v>2155</x:v>
      </x:c>
      <x:c r="B198" s="68" t="str">
        <x:v>A</x:v>
      </x:c>
      <x:c r="C198" s="68" t="str">
        <x:v>Cutrone</x:v>
      </x:c>
      <x:c r="D198" s="68" t="str">
        <x:v>Parma</x:v>
      </x:c>
      <x:c r="E198" s="68" t="str">
        <x:v>IO</x:v>
      </x:c>
      <x:c r="F198" s="68" t="n">
        <x:v>1</x:v>
      </x:c>
      <x:c r="G198" s="68" t="n">
        <x:v>10</x:v>
      </x:c>
      <x:c r="H198" s="68" t="n">
        <x:v>11</x:v>
      </x:c>
      <x:c r="I198" s="68" t="n">
        <x:f>H198-G198</x:f>
        <x:v>1</x:v>
      </x:c>
      <x:c r="J198" s="68" t="n">
        <x:v>24</x:v>
      </x:c>
      <x:c r="K198" s="73" t="n">
        <x:f>MAX(1,VLOOKUP(B198,'Parametri Modello'!$A$4:$H$7,2,FALSE)+VLOOKUP(B198,'Parametri Modello'!$A$4:$H$7,3,FALSE)*J198)</x:f>
        <x:v>1.638274856246614</x:v>
      </x:c>
      <x:c r="L198" s="73" t="n">
        <x:f>F198-K198</x:f>
        <x:v>-0.6382748562466141</x:v>
      </x:c>
      <x:c r="M198" s="75" t="n">
        <x:f>F198/K198</x:f>
        <x:v>0.610398185742202</x:v>
      </x:c>
      <x:c r="N198" s="75" t="n">
        <x:f>F198/G198</x:f>
        <x:v>0.1</x:v>
      </x:c>
      <x:c r="O198" s="68" t="n">
        <x:v>4</x:v>
      </x:c>
      <x:c r="P198" s="68" t="str">
        <x:v>Attaccanti</x:v>
      </x:c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>
      <x:c r="A199" s="68" t="n">
        <x:v>647</x:v>
      </x:c>
      <x:c r="B199" s="68" t="str">
        <x:v>A</x:v>
      </x:c>
      <x:c r="C199" s="68" t="str">
        <x:v>Dzeko</x:v>
      </x:c>
      <x:c r="D199" s="68" t="str">
        <x:v>Fiorentina</x:v>
      </x:c>
      <x:c r="E199" s="68" t="str">
        <x:v>Marco</x:v>
      </x:c>
      <x:c r="F199" s="68" t="n">
        <x:v>1</x:v>
      </x:c>
      <x:c r="G199" s="68" t="n">
        <x:v>15</x:v>
      </x:c>
      <x:c r="H199" s="68" t="n">
        <x:v>14</x:v>
      </x:c>
      <x:c r="I199" s="68" t="n">
        <x:f>H199-G199</x:f>
        <x:v>-1</x:v>
      </x:c>
      <x:c r="J199" s="68" t="n">
        <x:v>42</x:v>
      </x:c>
      <x:c r="K199" s="73" t="n">
        <x:f>MAX(1,VLOOKUP(B199,'Parametri Modello'!$A$4:$H$7,2,FALSE)+VLOOKUP(B199,'Parametri Modello'!$A$4:$H$7,3,FALSE)*J199)</x:f>
        <x:v>8.825593465433098</x:v>
      </x:c>
      <x:c r="L199" s="73" t="n">
        <x:f>F199-K199</x:f>
        <x:v>-7.825593465433098</x:v>
      </x:c>
      <x:c r="M199" s="75" t="n">
        <x:f>F199/K199</x:f>
        <x:v>0.11330682791096894</x:v>
      </x:c>
      <x:c r="N199" s="75" t="n">
        <x:f>F199/G199</x:f>
        <x:v>0.06666666666666667</x:v>
      </x:c>
      <x:c r="O199" s="68" t="n">
        <x:v>3</x:v>
      </x:c>
      <x:c r="P199" s="68" t="str">
        <x:v>Attaccanti</x:v>
      </x:c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>
      <x:c r="A200" s="68" t="n">
        <x:v>6145</x:v>
      </x:c>
      <x:c r="B200" s="68" t="str">
        <x:v>A</x:v>
      </x:c>
      <x:c r="C200" s="68" t="str">
        <x:v>Ngonge</x:v>
      </x:c>
      <x:c r="D200" s="68" t="str">
        <x:v>Torino</x:v>
      </x:c>
      <x:c r="E200" s="68" t="str">
        <x:v>Simo Q</x:v>
      </x:c>
      <x:c r="F200" s="68" t="n">
        <x:v>1</x:v>
      </x:c>
      <x:c r="G200" s="68" t="n">
        <x:v>9</x:v>
      </x:c>
      <x:c r="H200" s="68" t="n">
        <x:v>8</x:v>
      </x:c>
      <x:c r="I200" s="68" t="n">
        <x:f>H200-G200</x:f>
        <x:v>-1</x:v>
      </x:c>
      <x:c r="J200" s="68" t="n">
        <x:v>20</x:v>
      </x:c>
      <x:c r="K200" s="73" t="n">
        <x:f>MAX(1,VLOOKUP(B200,'Parametri Modello'!$A$4:$H$7,2,FALSE)+VLOOKUP(B200,'Parametri Modello'!$A$4:$H$7,3,FALSE)*J200)</x:f>
        <x:v>1</x:v>
      </x:c>
      <x:c r="L200" s="73" t="n">
        <x:f>F200-K200</x:f>
        <x:v>0</x:v>
      </x:c>
      <x:c r="M200" s="75" t="n">
        <x:f>F200/K200</x:f>
        <x:v>1</x:v>
      </x:c>
      <x:c r="N200" s="75" t="n">
        <x:f>F200/G200</x:f>
        <x:v>0.1111111111111111</x:v>
      </x:c>
      <x:c r="O200" s="68" t="n">
        <x:v>4</x:v>
      </x:c>
      <x:c r="P200" s="68" t="str">
        <x:v>Attaccanti</x:v>
      </x:c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  <x:row r="201">
      <x:c r="A201" s="68" t="n">
        <x:v>5336</x:v>
      </x:c>
      <x:c r="B201" s="68" t="str">
        <x:v>A</x:v>
      </x:c>
      <x:c r="C201" s="68" t="str">
        <x:v>Nzola</x:v>
      </x:c>
      <x:c r="D201" s="68" t="str">
        <x:v>Pisa</x:v>
      </x:c>
      <x:c r="E201" s="68" t="str">
        <x:v>Simo Q</x:v>
      </x:c>
      <x:c r="F201" s="68" t="n">
        <x:v>1</x:v>
      </x:c>
      <x:c r="G201" s="68" t="n">
        <x:v>12</x:v>
      </x:c>
      <x:c r="H201" s="68" t="n">
        <x:v>12</x:v>
      </x:c>
      <x:c r="I201" s="68" t="n">
        <x:f>H201-G201</x:f>
        <x:v>0</x:v>
      </x:c>
      <x:c r="J201" s="68" t="n">
        <x:v>28</x:v>
      </x:c>
      <x:c r="K201" s="73" t="n">
        <x:f>MAX(1,VLOOKUP(B201,'Parametri Modello'!$A$4:$H$7,2,FALSE)+VLOOKUP(B201,'Parametri Modello'!$A$4:$H$7,3,FALSE)*J201)</x:f>
        <x:v>3.235456769399166</x:v>
      </x:c>
      <x:c r="L201" s="73" t="n">
        <x:f>F201-K201</x:f>
        <x:v>-2.235456769399166</x:v>
      </x:c>
      <x:c r="M201" s="75" t="n">
        <x:f>F201/K201</x:f>
        <x:v>0.3090753705807366</x:v>
      </x:c>
      <x:c r="N201" s="75" t="n">
        <x:f>F201/G201</x:f>
        <x:v>0.08333333333333333</x:v>
      </x:c>
      <x:c r="O201" s="68" t="n">
        <x:v>4</x:v>
      </x:c>
      <x:c r="P201" s="68" t="str">
        <x:v>Attaccanti</x:v>
      </x:c>
      <x:c r="Q201" s="68"/>
      <x:c r="R201" s="68"/>
      <x:c r="S201" s="68"/>
      <x:c r="T201" s="68"/>
      <x:c r="U201" s="68"/>
      <x:c r="V201" s="68"/>
      <x:c r="W201" s="68"/>
      <x:c r="X201" s="68"/>
      <x:c r="Y201" s="68"/>
      <x:c r="Z201" s="68"/>
    </x:row>
    <x:row r="202">
      <x:c r="A202" s="68" t="n">
        <x:v>479</x:v>
      </x:c>
      <x:c r="B202" s="68" t="str">
        <x:v>A</x:v>
      </x:c>
      <x:c r="C202" s="68" t="str">
        <x:v>Sanabria</x:v>
      </x:c>
      <x:c r="D202" s="68" t="str">
        <x:v>Cremonese</x:v>
      </x:c>
      <x:c r="E202" s="68" t="str">
        <x:v>Andre</x:v>
      </x:c>
      <x:c r="F202" s="68" t="n">
        <x:v>1</x:v>
      </x:c>
      <x:c r="G202" s="68" t="n">
        <x:v>7</x:v>
      </x:c>
      <x:c r="H202" s="68" t="n">
        <x:v>8</x:v>
      </x:c>
      <x:c r="I202" s="68" t="n">
        <x:f>H202-G202</x:f>
        <x:v>1</x:v>
      </x:c>
      <x:c r="J202" s="68" t="n">
        <x:v>35</x:v>
      </x:c>
      <x:c r="K202" s="73" t="n">
        <x:f>MAX(1,VLOOKUP(B202,'Parametri Modello'!$A$4:$H$7,2,FALSE)+VLOOKUP(B202,'Parametri Modello'!$A$4:$H$7,3,FALSE)*J202)</x:f>
        <x:v>6.030525117416131</x:v>
      </x:c>
      <x:c r="L202" s="73" t="n">
        <x:f>F202-K202</x:f>
        <x:v>-5.030525117416131</x:v>
      </x:c>
      <x:c r="M202" s="75" t="n">
        <x:f>F202/K202</x:f>
        <x:v>0.16582303871216858</x:v>
      </x:c>
      <x:c r="N202" s="75" t="n">
        <x:f>F202/G202</x:f>
        <x:v>0.14285714285714285</x:v>
      </x:c>
      <x:c r="O202" s="68" t="n">
        <x:v>4</x:v>
      </x:c>
      <x:c r="P202" s="68" t="str">
        <x:v>Attaccanti</x:v>
      </x:c>
      <x:c r="Q202" s="68"/>
      <x:c r="R202" s="68"/>
      <x:c r="S202" s="68"/>
      <x:c r="T202" s="68"/>
      <x:c r="U202" s="68"/>
      <x:c r="V202" s="68"/>
      <x:c r="W202" s="68"/>
      <x:c r="X202" s="68"/>
      <x:c r="Y202" s="68"/>
      <x:c r="Z202" s="68"/>
    </x:row>
    <x:row r="203">
      <x:c r="A203" s="68" t="n">
        <x:v>2061</x:v>
      </x:c>
      <x:c r="B203" s="68" t="str">
        <x:v>A</x:v>
      </x:c>
      <x:c r="C203" s="68" t="str">
        <x:v>Simeone</x:v>
      </x:c>
      <x:c r="D203" s="68" t="str">
        <x:v>Torino</x:v>
      </x:c>
      <x:c r="E203" s="68" t="str">
        <x:v>Andre</x:v>
      </x:c>
      <x:c r="F203" s="68" t="n">
        <x:v>1</x:v>
      </x:c>
      <x:c r="G203" s="68" t="n">
        <x:v>8</x:v>
      </x:c>
      <x:c r="H203" s="68" t="n">
        <x:v>8</x:v>
      </x:c>
      <x:c r="I203" s="68" t="n">
        <x:f>H203-G203</x:f>
        <x:v>0</x:v>
      </x:c>
      <x:c r="J203" s="68" t="n">
        <x:v>27</x:v>
      </x:c>
      <x:c r="K203" s="73" t="n">
        <x:f>MAX(1,VLOOKUP(B203,'Parametri Modello'!$A$4:$H$7,2,FALSE)+VLOOKUP(B203,'Parametri Modello'!$A$4:$H$7,3,FALSE)*J203)</x:f>
        <x:v>2.8361612911110274</x:v>
      </x:c>
      <x:c r="L203" s="73" t="n">
        <x:f>F203-K203</x:f>
        <x:v>-1.8361612911110274</x:v>
      </x:c>
      <x:c r="M203" s="75" t="n">
        <x:f>F203/K203</x:f>
        <x:v>0.3525892561661272</x:v>
      </x:c>
      <x:c r="N203" s="75" t="n">
        <x:f>F203/G203</x:f>
        <x:v>0.125</x:v>
      </x:c>
      <x:c r="O203" s="68" t="n">
        <x:v>4</x:v>
      </x:c>
      <x:c r="P203" s="68" t="str">
        <x:v>Attaccanti</x:v>
      </x:c>
      <x:c r="Q203" s="68"/>
      <x:c r="R203" s="68"/>
      <x:c r="S203" s="68"/>
      <x:c r="T203" s="68"/>
      <x:c r="U203" s="68"/>
      <x:c r="V203" s="68"/>
      <x:c r="W203" s="68"/>
      <x:c r="X203" s="68"/>
      <x:c r="Y203" s="68"/>
      <x:c r="Z203" s="68"/>
    </x:row>
    <x:row r="204">
      <x:c r="A204" s="68"/>
      <x:c r="B204" s="68"/>
      <x:c r="C204" s="68"/>
      <x:c r="D204" s="68"/>
      <x:c r="E204" s="68"/>
      <x:c r="F204" s="68"/>
      <x:c r="G204" s="68"/>
      <x:c r="H204" s="68"/>
      <x:c r="I204" s="68"/>
      <x:c r="J204" s="68"/>
      <x:c r="K204" s="68"/>
      <x:c r="L204" s="68"/>
      <x:c r="M204" s="68"/>
      <x:c r="N204" s="68"/>
      <x:c r="O204" s="68"/>
      <x:c r="P204" s="68"/>
      <x:c r="Q204" s="68"/>
      <x:c r="R204" s="68"/>
      <x:c r="S204" s="68"/>
      <x:c r="T204" s="68"/>
      <x:c r="U204" s="68"/>
      <x:c r="V204" s="68"/>
      <x:c r="W204" s="68"/>
      <x:c r="X204" s="68"/>
      <x:c r="Y204" s="68"/>
      <x:c r="Z204" s="68"/>
    </x:row>
    <x:row r="205">
      <x:c r="A205" s="68"/>
      <x:c r="B205" s="68"/>
      <x:c r="C205" s="68"/>
      <x:c r="D205" s="68"/>
      <x:c r="E205" s="68"/>
      <x:c r="F205" s="68"/>
      <x:c r="G205" s="68"/>
      <x:c r="H205" s="68"/>
      <x:c r="I205" s="68"/>
      <x:c r="J205" s="68"/>
      <x:c r="K205" s="68"/>
      <x:c r="L205" s="68"/>
      <x:c r="M205" s="68"/>
      <x:c r="N205" s="68"/>
      <x:c r="O205" s="68"/>
      <x:c r="P205" s="68"/>
      <x:c r="Q205" s="68"/>
      <x:c r="R205" s="68"/>
      <x:c r="S205" s="68"/>
      <x:c r="T205" s="68"/>
      <x:c r="U205" s="68"/>
      <x:c r="V205" s="68"/>
      <x:c r="W205" s="68"/>
      <x:c r="X205" s="68"/>
      <x:c r="Y205" s="68"/>
      <x:c r="Z205" s="68"/>
    </x:row>
    <x:row r="206">
      <x:c r="A206" s="68"/>
      <x:c r="B206" s="68"/>
      <x:c r="C206" s="68"/>
      <x:c r="D206" s="68"/>
      <x:c r="E206" s="68"/>
      <x:c r="F206" s="68"/>
      <x:c r="G206" s="68"/>
      <x:c r="H206" s="68"/>
      <x:c r="I206" s="68"/>
      <x:c r="J206" s="68"/>
      <x:c r="K206" s="68"/>
      <x:c r="L206" s="68"/>
      <x:c r="M206" s="68"/>
      <x:c r="N206" s="68"/>
      <x:c r="O206" s="68"/>
      <x:c r="P206" s="68"/>
      <x:c r="Q206" s="68"/>
      <x:c r="R206" s="68"/>
      <x:c r="S206" s="68"/>
      <x:c r="T206" s="68"/>
      <x:c r="U206" s="68"/>
      <x:c r="V206" s="68"/>
      <x:c r="W206" s="68"/>
      <x:c r="X206" s="68"/>
      <x:c r="Y206" s="68"/>
      <x:c r="Z206" s="68"/>
    </x:row>
    <x:row r="207">
      <x:c r="A207" s="68"/>
      <x:c r="B207" s="68"/>
      <x:c r="C207" s="68"/>
      <x:c r="D207" s="68"/>
      <x:c r="E207" s="68"/>
      <x:c r="F207" s="68"/>
      <x:c r="G207" s="68"/>
      <x:c r="H207" s="68"/>
      <x:c r="I207" s="68"/>
      <x:c r="J207" s="68"/>
      <x:c r="K207" s="68"/>
      <x:c r="L207" s="68"/>
      <x:c r="M207" s="68"/>
      <x:c r="N207" s="68"/>
      <x:c r="O207" s="68"/>
      <x:c r="P207" s="68"/>
      <x:c r="Q207" s="68"/>
      <x:c r="R207" s="68"/>
      <x:c r="S207" s="68"/>
      <x:c r="T207" s="68"/>
      <x:c r="U207" s="68"/>
      <x:c r="V207" s="68"/>
      <x:c r="W207" s="68"/>
      <x:c r="X207" s="68"/>
      <x:c r="Y207" s="68"/>
      <x:c r="Z207" s="68"/>
    </x:row>
    <x:row r="208">
      <x:c r="A208" s="68"/>
      <x:c r="B208" s="68"/>
      <x:c r="C208" s="68"/>
      <x:c r="D208" s="68"/>
      <x:c r="E208" s="68"/>
      <x:c r="F208" s="68"/>
      <x:c r="G208" s="68"/>
      <x:c r="H208" s="68"/>
      <x:c r="I208" s="68"/>
      <x:c r="J208" s="68"/>
      <x:c r="K208" s="68"/>
      <x:c r="L208" s="68"/>
      <x:c r="M208" s="68"/>
      <x:c r="N208" s="68"/>
      <x:c r="O208" s="68"/>
      <x:c r="P208" s="68"/>
      <x:c r="Q208" s="68"/>
      <x:c r="R208" s="68"/>
      <x:c r="S208" s="68"/>
      <x:c r="T208" s="68"/>
      <x:c r="U208" s="68"/>
      <x:c r="V208" s="68"/>
      <x:c r="W208" s="68"/>
      <x:c r="X208" s="68"/>
      <x:c r="Y208" s="68"/>
      <x:c r="Z208" s="68"/>
    </x:row>
    <x:row r="209">
      <x:c r="A209" s="68"/>
      <x:c r="B209" s="68"/>
      <x:c r="C209" s="68"/>
      <x:c r="D209" s="68"/>
      <x:c r="E209" s="68"/>
      <x:c r="F209" s="68"/>
      <x:c r="G209" s="68"/>
      <x:c r="H209" s="68"/>
      <x:c r="I209" s="68"/>
      <x:c r="J209" s="68"/>
      <x:c r="K209" s="68"/>
      <x:c r="L209" s="68"/>
      <x:c r="M209" s="68"/>
      <x:c r="N209" s="68"/>
      <x:c r="O209" s="68"/>
      <x:c r="P209" s="68"/>
      <x:c r="Q209" s="68"/>
      <x:c r="R209" s="68"/>
      <x:c r="S209" s="68"/>
      <x:c r="T209" s="68"/>
      <x:c r="U209" s="68"/>
      <x:c r="V209" s="68"/>
      <x:c r="W209" s="68"/>
      <x:c r="X209" s="68"/>
      <x:c r="Y209" s="68"/>
      <x:c r="Z209" s="68"/>
    </x:row>
    <x:row r="210">
      <x:c r="A210" s="68"/>
      <x:c r="B210" s="68"/>
      <x:c r="C210" s="68"/>
      <x:c r="D210" s="68"/>
      <x:c r="E210" s="68"/>
      <x:c r="F210" s="68"/>
      <x:c r="G210" s="68"/>
      <x:c r="H210" s="68"/>
      <x:c r="I210" s="68"/>
      <x:c r="J210" s="68"/>
      <x:c r="K210" s="68"/>
      <x:c r="L210" s="68"/>
      <x:c r="M210" s="68"/>
      <x:c r="N210" s="68"/>
      <x:c r="O210" s="68"/>
      <x:c r="P210" s="68"/>
      <x:c r="Q210" s="68"/>
      <x:c r="R210" s="68"/>
      <x:c r="S210" s="68"/>
      <x:c r="T210" s="68"/>
      <x:c r="U210" s="68"/>
      <x:c r="V210" s="68"/>
      <x:c r="W210" s="68"/>
      <x:c r="X210" s="68"/>
      <x:c r="Y210" s="68"/>
      <x:c r="Z210" s="68"/>
    </x:row>
    <x:row r="211">
      <x:c r="A211" s="68"/>
      <x:c r="B211" s="68"/>
      <x:c r="C211" s="68"/>
      <x:c r="D211" s="68"/>
      <x:c r="E211" s="68"/>
      <x:c r="F211" s="68"/>
      <x:c r="G211" s="68"/>
      <x:c r="H211" s="68"/>
      <x:c r="I211" s="68"/>
      <x:c r="J211" s="68"/>
      <x:c r="K211" s="68"/>
      <x:c r="L211" s="68"/>
      <x:c r="M211" s="68"/>
      <x:c r="N211" s="68"/>
      <x:c r="O211" s="68"/>
      <x:c r="P211" s="68"/>
      <x:c r="Q211" s="68"/>
      <x:c r="R211" s="68"/>
      <x:c r="S211" s="68"/>
      <x:c r="T211" s="68"/>
      <x:c r="U211" s="68"/>
      <x:c r="V211" s="68"/>
      <x:c r="W211" s="68"/>
      <x:c r="X211" s="68"/>
      <x:c r="Y211" s="68"/>
      <x:c r="Z211" s="68"/>
    </x:row>
    <x:row r="212">
      <x:c r="A212" s="68"/>
      <x:c r="B212" s="68"/>
      <x:c r="C212" s="68"/>
      <x:c r="D212" s="68"/>
      <x:c r="E212" s="68"/>
      <x:c r="F212" s="68"/>
      <x:c r="G212" s="68"/>
      <x:c r="H212" s="68"/>
      <x:c r="I212" s="68"/>
      <x:c r="J212" s="68"/>
      <x:c r="K212" s="68"/>
      <x:c r="L212" s="68"/>
      <x:c r="M212" s="68"/>
      <x:c r="N212" s="68"/>
      <x:c r="O212" s="68"/>
      <x:c r="P212" s="68"/>
      <x:c r="Q212" s="68"/>
      <x:c r="R212" s="68"/>
      <x:c r="S212" s="68"/>
      <x:c r="T212" s="68"/>
      <x:c r="U212" s="68"/>
      <x:c r="V212" s="68"/>
      <x:c r="W212" s="68"/>
      <x:c r="X212" s="68"/>
      <x:c r="Y212" s="68"/>
      <x:c r="Z212" s="68"/>
    </x:row>
    <x:row r="213">
      <x:c r="A213" s="68"/>
      <x:c r="B213" s="68"/>
      <x:c r="C213" s="68"/>
      <x:c r="D213" s="68"/>
      <x:c r="E213" s="68"/>
      <x:c r="F213" s="68"/>
      <x:c r="G213" s="68"/>
      <x:c r="H213" s="68"/>
      <x:c r="I213" s="68"/>
      <x:c r="J213" s="68"/>
      <x:c r="K213" s="68"/>
      <x:c r="L213" s="68"/>
      <x:c r="M213" s="68"/>
      <x:c r="N213" s="68"/>
      <x:c r="O213" s="68"/>
      <x:c r="P213" s="68"/>
      <x:c r="Q213" s="68"/>
      <x:c r="R213" s="68"/>
      <x:c r="S213" s="68"/>
      <x:c r="T213" s="68"/>
      <x:c r="U213" s="68"/>
      <x:c r="V213" s="68"/>
      <x:c r="W213" s="68"/>
      <x:c r="X213" s="68"/>
      <x:c r="Y213" s="68"/>
      <x:c r="Z213" s="68"/>
    </x:row>
    <x:row r="214">
      <x:c r="A214" s="68"/>
      <x:c r="B214" s="68"/>
      <x:c r="C214" s="68"/>
      <x:c r="D214" s="68"/>
      <x:c r="E214" s="68"/>
      <x:c r="F214" s="68"/>
      <x:c r="G214" s="68"/>
      <x:c r="H214" s="68"/>
      <x:c r="I214" s="68"/>
      <x:c r="J214" s="68"/>
      <x:c r="K214" s="68"/>
      <x:c r="L214" s="68"/>
      <x:c r="M214" s="68"/>
      <x:c r="N214" s="68"/>
      <x:c r="O214" s="68"/>
      <x:c r="P214" s="68"/>
      <x:c r="Q214" s="68"/>
      <x:c r="R214" s="68"/>
      <x:c r="S214" s="68"/>
      <x:c r="T214" s="68"/>
      <x:c r="U214" s="68"/>
      <x:c r="V214" s="68"/>
      <x:c r="W214" s="68"/>
      <x:c r="X214" s="68"/>
      <x:c r="Y214" s="68"/>
      <x:c r="Z214" s="68"/>
    </x:row>
    <x:row r="215">
      <x:c r="A215" s="68"/>
      <x:c r="B215" s="68"/>
      <x:c r="C215" s="68"/>
      <x:c r="D215" s="68"/>
      <x:c r="E215" s="68"/>
      <x:c r="F215" s="68"/>
      <x:c r="G215" s="68"/>
      <x:c r="H215" s="68"/>
      <x:c r="I215" s="68"/>
      <x:c r="J215" s="68"/>
      <x:c r="K215" s="68"/>
      <x:c r="L215" s="68"/>
      <x:c r="M215" s="68"/>
      <x:c r="N215" s="68"/>
      <x:c r="O215" s="68"/>
      <x:c r="P215" s="68"/>
      <x:c r="Q215" s="68"/>
      <x:c r="R215" s="68"/>
      <x:c r="S215" s="68"/>
      <x:c r="T215" s="68"/>
      <x:c r="U215" s="68"/>
      <x:c r="V215" s="68"/>
      <x:c r="W215" s="68"/>
      <x:c r="X215" s="68"/>
      <x:c r="Y215" s="68"/>
      <x:c r="Z215" s="68"/>
    </x:row>
    <x:row r="216">
      <x:c r="A216" s="68"/>
      <x:c r="B216" s="68"/>
      <x:c r="C216" s="68"/>
      <x:c r="D216" s="68"/>
      <x:c r="E216" s="68"/>
      <x:c r="F216" s="68"/>
      <x:c r="G216" s="68"/>
      <x:c r="H216" s="68"/>
      <x:c r="I216" s="68"/>
      <x:c r="J216" s="68"/>
      <x:c r="K216" s="68"/>
      <x:c r="L216" s="68"/>
      <x:c r="M216" s="68"/>
      <x:c r="N216" s="68"/>
      <x:c r="O216" s="68"/>
      <x:c r="P216" s="68"/>
      <x:c r="Q216" s="68"/>
      <x:c r="R216" s="68"/>
      <x:c r="S216" s="68"/>
      <x:c r="T216" s="68"/>
      <x:c r="U216" s="68"/>
      <x:c r="V216" s="68"/>
      <x:c r="W216" s="68"/>
      <x:c r="X216" s="68"/>
      <x:c r="Y216" s="68"/>
      <x:c r="Z216" s="68"/>
    </x:row>
    <x:row r="217">
      <x:c r="A217" s="68"/>
      <x:c r="B217" s="68"/>
      <x:c r="C217" s="68"/>
      <x:c r="D217" s="68"/>
      <x:c r="E217" s="68"/>
      <x:c r="F217" s="68"/>
      <x:c r="G217" s="68"/>
      <x:c r="H217" s="68"/>
      <x:c r="I217" s="68"/>
      <x:c r="J217" s="68"/>
      <x:c r="K217" s="68"/>
      <x:c r="L217" s="68"/>
      <x:c r="M217" s="68"/>
      <x:c r="N217" s="68"/>
      <x:c r="O217" s="68"/>
      <x:c r="P217" s="68"/>
      <x:c r="Q217" s="68"/>
      <x:c r="R217" s="68"/>
      <x:c r="S217" s="68"/>
      <x:c r="T217" s="68"/>
      <x:c r="U217" s="68"/>
      <x:c r="V217" s="68"/>
      <x:c r="W217" s="68"/>
      <x:c r="X217" s="68"/>
      <x:c r="Y217" s="68"/>
      <x:c r="Z217" s="68"/>
    </x:row>
    <x:row r="218">
      <x:c r="A218" s="68"/>
      <x:c r="B218" s="68"/>
      <x:c r="C218" s="68"/>
      <x:c r="D218" s="68"/>
      <x:c r="E218" s="68"/>
      <x:c r="F218" s="68"/>
      <x:c r="G218" s="68"/>
      <x:c r="H218" s="68"/>
      <x:c r="I218" s="68"/>
      <x:c r="J218" s="68"/>
      <x:c r="K218" s="68"/>
      <x:c r="L218" s="68"/>
      <x:c r="M218" s="68"/>
      <x:c r="N218" s="68"/>
      <x:c r="O218" s="68"/>
      <x:c r="P218" s="68"/>
      <x:c r="Q218" s="68"/>
      <x:c r="R218" s="68"/>
      <x:c r="S218" s="68"/>
      <x:c r="T218" s="68"/>
      <x:c r="U218" s="68"/>
      <x:c r="V218" s="68"/>
      <x:c r="W218" s="68"/>
      <x:c r="X218" s="68"/>
      <x:c r="Y218" s="68"/>
      <x:c r="Z218" s="68"/>
    </x:row>
    <x:row r="219">
      <x:c r="A219" s="68"/>
      <x:c r="B219" s="68"/>
      <x:c r="C219" s="68"/>
      <x:c r="D219" s="68"/>
      <x:c r="E219" s="68"/>
      <x:c r="F219" s="68"/>
      <x:c r="G219" s="68"/>
      <x:c r="H219" s="68"/>
      <x:c r="I219" s="68"/>
      <x:c r="J219" s="68"/>
      <x:c r="K219" s="68"/>
      <x:c r="L219" s="68"/>
      <x:c r="M219" s="68"/>
      <x:c r="N219" s="68"/>
      <x:c r="O219" s="68"/>
      <x:c r="P219" s="68"/>
      <x:c r="Q219" s="68"/>
      <x:c r="R219" s="68"/>
      <x:c r="S219" s="68"/>
      <x:c r="T219" s="68"/>
      <x:c r="U219" s="68"/>
      <x:c r="V219" s="68"/>
      <x:c r="W219" s="68"/>
      <x:c r="X219" s="68"/>
      <x:c r="Y219" s="68"/>
      <x:c r="Z219" s="68"/>
    </x:row>
    <x:row r="220">
      <x:c r="A220" s="68"/>
      <x:c r="B220" s="68"/>
      <x:c r="C220" s="68"/>
      <x:c r="D220" s="68"/>
      <x:c r="E220" s="68"/>
      <x:c r="F220" s="68"/>
      <x:c r="G220" s="68"/>
      <x:c r="H220" s="68"/>
      <x:c r="I220" s="68"/>
      <x:c r="J220" s="68"/>
      <x:c r="K220" s="68"/>
      <x:c r="L220" s="68"/>
      <x:c r="M220" s="68"/>
      <x:c r="N220" s="68"/>
      <x:c r="O220" s="68"/>
      <x:c r="P220" s="68"/>
      <x:c r="Q220" s="68"/>
      <x:c r="R220" s="68"/>
      <x:c r="S220" s="68"/>
      <x:c r="T220" s="68"/>
      <x:c r="U220" s="68"/>
      <x:c r="V220" s="68"/>
      <x:c r="W220" s="68"/>
      <x:c r="X220" s="68"/>
      <x:c r="Y220" s="68"/>
      <x:c r="Z220" s="68"/>
    </x:row>
    <x:row r="221">
      <x:c r="A221" s="68"/>
      <x:c r="B221" s="68"/>
      <x:c r="C221" s="68"/>
      <x:c r="D221" s="68"/>
      <x:c r="E221" s="68"/>
      <x:c r="F221" s="68"/>
      <x:c r="G221" s="68"/>
      <x:c r="H221" s="68"/>
      <x:c r="I221" s="68"/>
      <x:c r="J221" s="68"/>
      <x:c r="K221" s="68"/>
      <x:c r="L221" s="68"/>
      <x:c r="M221" s="68"/>
      <x:c r="N221" s="68"/>
      <x:c r="O221" s="68"/>
      <x:c r="P221" s="68"/>
      <x:c r="Q221" s="68"/>
      <x:c r="R221" s="68"/>
      <x:c r="S221" s="68"/>
      <x:c r="T221" s="68"/>
      <x:c r="U221" s="68"/>
      <x:c r="V221" s="68"/>
      <x:c r="W221" s="68"/>
      <x:c r="X221" s="68"/>
      <x:c r="Y221" s="68"/>
      <x:c r="Z221" s="68"/>
    </x:row>
    <x:row r="222">
      <x:c r="A222" s="68"/>
      <x:c r="B222" s="68"/>
      <x:c r="C222" s="68"/>
      <x:c r="D222" s="68"/>
      <x:c r="E222" s="68"/>
      <x:c r="F222" s="68"/>
      <x:c r="G222" s="68"/>
      <x:c r="H222" s="68"/>
      <x:c r="I222" s="68"/>
      <x:c r="J222" s="68"/>
      <x:c r="K222" s="68"/>
      <x:c r="L222" s="68"/>
      <x:c r="M222" s="68"/>
      <x:c r="N222" s="68"/>
      <x:c r="O222" s="68"/>
      <x:c r="P222" s="68"/>
      <x:c r="Q222" s="68"/>
      <x:c r="R222" s="68"/>
      <x:c r="S222" s="68"/>
      <x:c r="T222" s="68"/>
      <x:c r="U222" s="68"/>
      <x:c r="V222" s="68"/>
      <x:c r="W222" s="68"/>
      <x:c r="X222" s="68"/>
      <x:c r="Y222" s="68"/>
      <x:c r="Z222" s="68"/>
    </x:row>
    <x:row r="223">
      <x:c r="A223" s="68"/>
      <x:c r="B223" s="68"/>
      <x:c r="C223" s="68"/>
      <x:c r="D223" s="68"/>
      <x:c r="E223" s="68"/>
      <x:c r="F223" s="68"/>
      <x:c r="G223" s="68"/>
      <x:c r="H223" s="68"/>
      <x:c r="I223" s="68"/>
      <x:c r="J223" s="68"/>
      <x:c r="K223" s="68"/>
      <x:c r="L223" s="68"/>
      <x:c r="M223" s="68"/>
      <x:c r="N223" s="68"/>
      <x:c r="O223" s="68"/>
      <x:c r="P223" s="68"/>
      <x:c r="Q223" s="68"/>
      <x:c r="R223" s="68"/>
      <x:c r="S223" s="68"/>
      <x:c r="T223" s="68"/>
      <x:c r="U223" s="68"/>
      <x:c r="V223" s="68"/>
      <x:c r="W223" s="68"/>
      <x:c r="X223" s="68"/>
      <x:c r="Y223" s="68"/>
      <x:c r="Z223" s="68"/>
    </x:row>
    <x:row r="224">
      <x:c r="A224" s="68"/>
      <x:c r="B224" s="68"/>
      <x:c r="C224" s="68"/>
      <x:c r="D224" s="68"/>
      <x:c r="E224" s="68"/>
      <x:c r="F224" s="68"/>
      <x:c r="G224" s="68"/>
      <x:c r="H224" s="68"/>
      <x:c r="I224" s="68"/>
      <x:c r="J224" s="68"/>
      <x:c r="K224" s="68"/>
      <x:c r="L224" s="68"/>
      <x:c r="M224" s="68"/>
      <x:c r="N224" s="68"/>
      <x:c r="O224" s="68"/>
      <x:c r="P224" s="68"/>
      <x:c r="Q224" s="68"/>
      <x:c r="R224" s="68"/>
      <x:c r="S224" s="68"/>
      <x:c r="T224" s="68"/>
      <x:c r="U224" s="68"/>
      <x:c r="V224" s="68"/>
      <x:c r="W224" s="68"/>
      <x:c r="X224" s="68"/>
      <x:c r="Y224" s="68"/>
      <x:c r="Z224" s="68"/>
    </x:row>
    <x:row r="225">
      <x:c r="A225" s="68"/>
      <x:c r="B225" s="68"/>
      <x:c r="C225" s="68"/>
      <x:c r="D225" s="68"/>
      <x:c r="E225" s="68"/>
      <x:c r="F225" s="68"/>
      <x:c r="G225" s="68"/>
      <x:c r="H225" s="68"/>
      <x:c r="I225" s="68"/>
      <x:c r="J225" s="68"/>
      <x:c r="K225" s="68"/>
      <x:c r="L225" s="68"/>
      <x:c r="M225" s="68"/>
      <x:c r="N225" s="68"/>
      <x:c r="O225" s="68"/>
      <x:c r="P225" s="68"/>
      <x:c r="Q225" s="68"/>
      <x:c r="R225" s="68"/>
      <x:c r="S225" s="68"/>
      <x:c r="T225" s="68"/>
      <x:c r="U225" s="68"/>
      <x:c r="V225" s="68"/>
      <x:c r="W225" s="68"/>
      <x:c r="X225" s="68"/>
      <x:c r="Y225" s="68"/>
      <x:c r="Z225" s="68"/>
    </x:row>
    <x:row r="226">
      <x:c r="A226" s="68"/>
      <x:c r="B226" s="68"/>
      <x:c r="C226" s="68"/>
      <x:c r="D226" s="68"/>
      <x:c r="E226" s="68"/>
      <x:c r="F226" s="68"/>
      <x:c r="G226" s="68"/>
      <x:c r="H226" s="68"/>
      <x:c r="I226" s="68"/>
      <x:c r="J226" s="68"/>
      <x:c r="K226" s="68"/>
      <x:c r="L226" s="68"/>
      <x:c r="M226" s="68"/>
      <x:c r="N226" s="68"/>
      <x:c r="O226" s="68"/>
      <x:c r="P226" s="68"/>
      <x:c r="Q226" s="68"/>
      <x:c r="R226" s="68"/>
      <x:c r="S226" s="68"/>
      <x:c r="T226" s="68"/>
      <x:c r="U226" s="68"/>
      <x:c r="V226" s="68"/>
      <x:c r="W226" s="68"/>
      <x:c r="X226" s="68"/>
      <x:c r="Y226" s="68"/>
      <x:c r="Z226" s="68"/>
    </x:row>
    <x:row r="227">
      <x:c r="A227" s="68"/>
      <x:c r="B227" s="68"/>
      <x:c r="C227" s="68"/>
      <x:c r="D227" s="68"/>
      <x:c r="E227" s="68"/>
      <x:c r="F227" s="68"/>
      <x:c r="G227" s="68"/>
      <x:c r="H227" s="68"/>
      <x:c r="I227" s="68"/>
      <x:c r="J227" s="68"/>
      <x:c r="K227" s="68"/>
      <x:c r="L227" s="68"/>
      <x:c r="M227" s="68"/>
      <x:c r="N227" s="68"/>
      <x:c r="O227" s="68"/>
      <x:c r="P227" s="68"/>
      <x:c r="Q227" s="68"/>
      <x:c r="R227" s="68"/>
      <x:c r="S227" s="68"/>
      <x:c r="T227" s="68"/>
      <x:c r="U227" s="68"/>
      <x:c r="V227" s="68"/>
      <x:c r="W227" s="68"/>
      <x:c r="X227" s="68"/>
      <x:c r="Y227" s="68"/>
      <x:c r="Z227" s="68"/>
    </x:row>
    <x:row r="228">
      <x:c r="A228" s="68"/>
      <x:c r="B228" s="68"/>
      <x:c r="C228" s="68"/>
      <x:c r="D228" s="68"/>
      <x:c r="E228" s="68"/>
      <x:c r="F228" s="68"/>
      <x:c r="G228" s="68"/>
      <x:c r="H228" s="68"/>
      <x:c r="I228" s="68"/>
      <x:c r="J228" s="68"/>
      <x:c r="K228" s="68"/>
      <x:c r="L228" s="68"/>
      <x:c r="M228" s="68"/>
      <x:c r="N228" s="68"/>
      <x:c r="O228" s="68"/>
      <x:c r="P228" s="68"/>
      <x:c r="Q228" s="68"/>
      <x:c r="R228" s="68"/>
      <x:c r="S228" s="68"/>
      <x:c r="T228" s="68"/>
      <x:c r="U228" s="68"/>
      <x:c r="V228" s="68"/>
      <x:c r="W228" s="68"/>
      <x:c r="X228" s="68"/>
      <x:c r="Y228" s="68"/>
      <x:c r="Z228" s="68"/>
    </x:row>
    <x:row r="229">
      <x:c r="A229" s="68"/>
      <x:c r="B229" s="68"/>
      <x:c r="C229" s="68"/>
      <x:c r="D229" s="68"/>
      <x:c r="E229" s="68"/>
      <x:c r="F229" s="68"/>
      <x:c r="G229" s="68"/>
      <x:c r="H229" s="68"/>
      <x:c r="I229" s="68"/>
      <x:c r="J229" s="68"/>
      <x:c r="K229" s="68"/>
      <x:c r="L229" s="68"/>
      <x:c r="M229" s="68"/>
      <x:c r="N229" s="68"/>
      <x:c r="O229" s="68"/>
      <x:c r="P229" s="68"/>
      <x:c r="Q229" s="68"/>
      <x:c r="R229" s="68"/>
      <x:c r="S229" s="68"/>
      <x:c r="T229" s="68"/>
      <x:c r="U229" s="68"/>
      <x:c r="V229" s="68"/>
      <x:c r="W229" s="68"/>
      <x:c r="X229" s="68"/>
      <x:c r="Y229" s="68"/>
      <x:c r="Z229" s="68"/>
    </x:row>
    <x:row r="230">
      <x:c r="A230" s="68"/>
      <x:c r="B230" s="68"/>
      <x:c r="C230" s="68"/>
      <x:c r="D230" s="68"/>
      <x:c r="E230" s="68"/>
      <x:c r="F230" s="68"/>
      <x:c r="G230" s="68"/>
      <x:c r="H230" s="68"/>
      <x:c r="I230" s="68"/>
      <x:c r="J230" s="68"/>
      <x:c r="K230" s="68"/>
      <x:c r="L230" s="68"/>
      <x:c r="M230" s="68"/>
      <x:c r="N230" s="68"/>
      <x:c r="O230" s="68"/>
      <x:c r="P230" s="68"/>
      <x:c r="Q230" s="68"/>
      <x:c r="R230" s="68"/>
      <x:c r="S230" s="68"/>
      <x:c r="T230" s="68"/>
      <x:c r="U230" s="68"/>
      <x:c r="V230" s="68"/>
      <x:c r="W230" s="68"/>
      <x:c r="X230" s="68"/>
      <x:c r="Y230" s="68"/>
      <x:c r="Z230" s="68"/>
    </x:row>
    <x:row r="231">
      <x:c r="A231" s="68"/>
      <x:c r="B231" s="68"/>
      <x:c r="C231" s="68"/>
      <x:c r="D231" s="68"/>
      <x:c r="E231" s="68"/>
      <x:c r="F231" s="68"/>
      <x:c r="G231" s="68"/>
      <x:c r="H231" s="68"/>
      <x:c r="I231" s="68"/>
      <x:c r="J231" s="68"/>
      <x:c r="K231" s="68"/>
      <x:c r="L231" s="68"/>
      <x:c r="M231" s="68"/>
      <x:c r="N231" s="68"/>
      <x:c r="O231" s="68"/>
      <x:c r="P231" s="68"/>
      <x:c r="Q231" s="68"/>
      <x:c r="R231" s="68"/>
      <x:c r="S231" s="68"/>
      <x:c r="T231" s="68"/>
      <x:c r="U231" s="68"/>
      <x:c r="V231" s="68"/>
      <x:c r="W231" s="68"/>
      <x:c r="X231" s="68"/>
      <x:c r="Y231" s="68"/>
      <x:c r="Z231" s="68"/>
    </x:row>
    <x:row r="232">
      <x:c r="A232" s="68"/>
      <x:c r="B232" s="68"/>
      <x:c r="C232" s="68"/>
      <x:c r="D232" s="68"/>
      <x:c r="E232" s="68"/>
      <x:c r="F232" s="68"/>
      <x:c r="G232" s="68"/>
      <x:c r="H232" s="68"/>
      <x:c r="I232" s="68"/>
      <x:c r="J232" s="68"/>
      <x:c r="K232" s="68"/>
      <x:c r="L232" s="68"/>
      <x:c r="M232" s="68"/>
      <x:c r="N232" s="68"/>
      <x:c r="O232" s="68"/>
      <x:c r="P232" s="68"/>
      <x:c r="Q232" s="68"/>
      <x:c r="R232" s="68"/>
      <x:c r="S232" s="68"/>
      <x:c r="T232" s="68"/>
      <x:c r="U232" s="68"/>
      <x:c r="V232" s="68"/>
      <x:c r="W232" s="68"/>
      <x:c r="X232" s="68"/>
      <x:c r="Y232" s="68"/>
      <x:c r="Z232" s="68"/>
    </x:row>
    <x:row r="233">
      <x:c r="A233" s="68"/>
      <x:c r="B233" s="68"/>
      <x:c r="C233" s="68"/>
      <x:c r="D233" s="68"/>
      <x:c r="E233" s="68"/>
      <x:c r="F233" s="68"/>
      <x:c r="G233" s="68"/>
      <x:c r="H233" s="68"/>
      <x:c r="I233" s="68"/>
      <x:c r="J233" s="68"/>
      <x:c r="K233" s="68"/>
      <x:c r="L233" s="68"/>
      <x:c r="M233" s="68"/>
      <x:c r="N233" s="68"/>
      <x:c r="O233" s="68"/>
      <x:c r="P233" s="68"/>
      <x:c r="Q233" s="68"/>
      <x:c r="R233" s="68"/>
      <x:c r="S233" s="68"/>
      <x:c r="T233" s="68"/>
      <x:c r="U233" s="68"/>
      <x:c r="V233" s="68"/>
      <x:c r="W233" s="68"/>
      <x:c r="X233" s="68"/>
      <x:c r="Y233" s="68"/>
      <x:c r="Z233" s="68"/>
    </x:row>
    <x:row r="234">
      <x:c r="A234" s="68"/>
      <x:c r="B234" s="68"/>
      <x:c r="C234" s="68"/>
      <x:c r="D234" s="68"/>
      <x:c r="E234" s="68"/>
      <x:c r="F234" s="68"/>
      <x:c r="G234" s="68"/>
      <x:c r="H234" s="68"/>
      <x:c r="I234" s="68"/>
      <x:c r="J234" s="68"/>
      <x:c r="K234" s="68"/>
      <x:c r="L234" s="68"/>
      <x:c r="M234" s="68"/>
      <x:c r="N234" s="68"/>
      <x:c r="O234" s="68"/>
      <x:c r="P234" s="68"/>
      <x:c r="Q234" s="68"/>
      <x:c r="R234" s="68"/>
      <x:c r="S234" s="68"/>
      <x:c r="T234" s="68"/>
      <x:c r="U234" s="68"/>
      <x:c r="V234" s="68"/>
      <x:c r="W234" s="68"/>
      <x:c r="X234" s="68"/>
      <x:c r="Y234" s="68"/>
      <x:c r="Z234" s="68"/>
    </x:row>
    <x:row r="235">
      <x:c r="A235" s="68"/>
      <x:c r="B235" s="68"/>
      <x:c r="C235" s="68"/>
      <x:c r="D235" s="68"/>
      <x:c r="E235" s="68"/>
      <x:c r="F235" s="68"/>
      <x:c r="G235" s="68"/>
      <x:c r="H235" s="68"/>
      <x:c r="I235" s="68"/>
      <x:c r="J235" s="68"/>
      <x:c r="K235" s="68"/>
      <x:c r="L235" s="68"/>
      <x:c r="M235" s="68"/>
      <x:c r="N235" s="68"/>
      <x:c r="O235" s="68"/>
      <x:c r="P235" s="68"/>
      <x:c r="Q235" s="68"/>
      <x:c r="R235" s="68"/>
      <x:c r="S235" s="68"/>
      <x:c r="T235" s="68"/>
      <x:c r="U235" s="68"/>
      <x:c r="V235" s="68"/>
      <x:c r="W235" s="68"/>
      <x:c r="X235" s="68"/>
      <x:c r="Y235" s="68"/>
      <x:c r="Z235" s="68"/>
    </x:row>
    <x:row r="236">
      <x:c r="A236" s="68"/>
      <x:c r="B236" s="68"/>
      <x:c r="C236" s="68"/>
      <x:c r="D236" s="68"/>
      <x:c r="E236" s="68"/>
      <x:c r="F236" s="68"/>
      <x:c r="G236" s="68"/>
      <x:c r="H236" s="68"/>
      <x:c r="I236" s="68"/>
      <x:c r="J236" s="68"/>
      <x:c r="K236" s="68"/>
      <x:c r="L236" s="68"/>
      <x:c r="M236" s="68"/>
      <x:c r="N236" s="68"/>
      <x:c r="O236" s="68"/>
      <x:c r="P236" s="68"/>
      <x:c r="Q236" s="68"/>
      <x:c r="R236" s="68"/>
      <x:c r="S236" s="68"/>
      <x:c r="T236" s="68"/>
      <x:c r="U236" s="68"/>
      <x:c r="V236" s="68"/>
      <x:c r="W236" s="68"/>
      <x:c r="X236" s="68"/>
      <x:c r="Y236" s="68"/>
      <x:c r="Z236" s="68"/>
    </x:row>
    <x:row r="237">
      <x:c r="A237" s="68"/>
      <x:c r="B237" s="68"/>
      <x:c r="C237" s="68"/>
      <x:c r="D237" s="68"/>
      <x:c r="E237" s="68"/>
      <x:c r="F237" s="68"/>
      <x:c r="G237" s="68"/>
      <x:c r="H237" s="68"/>
      <x:c r="I237" s="68"/>
      <x:c r="J237" s="68"/>
      <x:c r="K237" s="68"/>
      <x:c r="L237" s="68"/>
      <x:c r="M237" s="68"/>
      <x:c r="N237" s="68"/>
      <x:c r="O237" s="68"/>
      <x:c r="P237" s="68"/>
      <x:c r="Q237" s="68"/>
      <x:c r="R237" s="68"/>
      <x:c r="S237" s="68"/>
      <x:c r="T237" s="68"/>
      <x:c r="U237" s="68"/>
      <x:c r="V237" s="68"/>
      <x:c r="W237" s="68"/>
      <x:c r="X237" s="68"/>
      <x:c r="Y237" s="68"/>
      <x:c r="Z237" s="68"/>
    </x:row>
    <x:row r="238">
      <x:c r="A238" s="68"/>
      <x:c r="B238" s="68"/>
      <x:c r="C238" s="68"/>
      <x:c r="D238" s="68"/>
      <x:c r="E238" s="68"/>
      <x:c r="F238" s="68"/>
      <x:c r="G238" s="68"/>
      <x:c r="H238" s="68"/>
      <x:c r="I238" s="68"/>
      <x:c r="J238" s="68"/>
      <x:c r="K238" s="68"/>
      <x:c r="L238" s="68"/>
      <x:c r="M238" s="68"/>
      <x:c r="N238" s="68"/>
      <x:c r="O238" s="68"/>
      <x:c r="P238" s="68"/>
      <x:c r="Q238" s="68"/>
      <x:c r="R238" s="68"/>
      <x:c r="S238" s="68"/>
      <x:c r="T238" s="68"/>
      <x:c r="U238" s="68"/>
      <x:c r="V238" s="68"/>
      <x:c r="W238" s="68"/>
      <x:c r="X238" s="68"/>
      <x:c r="Y238" s="68"/>
      <x:c r="Z238" s="68"/>
    </x:row>
    <x:row r="239">
      <x:c r="A239" s="68"/>
      <x:c r="B239" s="68"/>
      <x:c r="C239" s="68"/>
      <x:c r="D239" s="68"/>
      <x:c r="E239" s="68"/>
      <x:c r="F239" s="68"/>
      <x:c r="G239" s="68"/>
      <x:c r="H239" s="68"/>
      <x:c r="I239" s="68"/>
      <x:c r="J239" s="68"/>
      <x:c r="K239" s="68"/>
      <x:c r="L239" s="68"/>
      <x:c r="M239" s="68"/>
      <x:c r="N239" s="68"/>
      <x:c r="O239" s="68"/>
      <x:c r="P239" s="68"/>
      <x:c r="Q239" s="68"/>
      <x:c r="R239" s="68"/>
      <x:c r="S239" s="68"/>
      <x:c r="T239" s="68"/>
      <x:c r="U239" s="68"/>
      <x:c r="V239" s="68"/>
      <x:c r="W239" s="68"/>
      <x:c r="X239" s="68"/>
      <x:c r="Y239" s="68"/>
      <x:c r="Z239" s="68"/>
    </x:row>
    <x:row r="240">
      <x:c r="A240" s="68"/>
      <x:c r="B240" s="68"/>
      <x:c r="C240" s="68"/>
      <x:c r="D240" s="68"/>
      <x:c r="E240" s="68"/>
      <x:c r="F240" s="68"/>
      <x:c r="G240" s="68"/>
      <x:c r="H240" s="68"/>
      <x:c r="I240" s="68"/>
      <x:c r="J240" s="68"/>
      <x:c r="K240" s="68"/>
      <x:c r="L240" s="68"/>
      <x:c r="M240" s="68"/>
      <x:c r="N240" s="68"/>
      <x:c r="O240" s="68"/>
      <x:c r="P240" s="68"/>
      <x:c r="Q240" s="68"/>
      <x:c r="R240" s="68"/>
      <x:c r="S240" s="68"/>
      <x:c r="T240" s="68"/>
      <x:c r="U240" s="68"/>
      <x:c r="V240" s="68"/>
      <x:c r="W240" s="68"/>
      <x:c r="X240" s="68"/>
      <x:c r="Y240" s="68"/>
      <x:c r="Z240" s="68"/>
    </x:row>
    <x:row r="241">
      <x:c r="A241" s="68"/>
      <x:c r="B241" s="68"/>
      <x:c r="C241" s="68"/>
      <x:c r="D241" s="68"/>
      <x:c r="E241" s="68"/>
      <x:c r="F241" s="68"/>
      <x:c r="G241" s="68"/>
      <x:c r="H241" s="68"/>
      <x:c r="I241" s="68"/>
      <x:c r="J241" s="68"/>
      <x:c r="K241" s="68"/>
      <x:c r="L241" s="68"/>
      <x:c r="M241" s="68"/>
      <x:c r="N241" s="68"/>
      <x:c r="O241" s="68"/>
      <x:c r="P241" s="68"/>
      <x:c r="Q241" s="68"/>
      <x:c r="R241" s="68"/>
      <x:c r="S241" s="68"/>
      <x:c r="T241" s="68"/>
      <x:c r="U241" s="68"/>
      <x:c r="V241" s="68"/>
      <x:c r="W241" s="68"/>
      <x:c r="X241" s="68"/>
      <x:c r="Y241" s="68"/>
      <x:c r="Z241" s="68"/>
    </x:row>
    <x:row r="242">
      <x:c r="A242" s="68"/>
      <x:c r="B242" s="68"/>
      <x:c r="C242" s="68"/>
      <x:c r="D242" s="68"/>
      <x:c r="E242" s="68"/>
      <x:c r="F242" s="68"/>
      <x:c r="G242" s="68"/>
      <x:c r="H242" s="68"/>
      <x:c r="I242" s="68"/>
      <x:c r="J242" s="68"/>
      <x:c r="K242" s="68"/>
      <x:c r="L242" s="68"/>
      <x:c r="M242" s="68"/>
      <x:c r="N242" s="68"/>
      <x:c r="O242" s="68"/>
      <x:c r="P242" s="68"/>
      <x:c r="Q242" s="68"/>
      <x:c r="R242" s="68"/>
      <x:c r="S242" s="68"/>
      <x:c r="T242" s="68"/>
      <x:c r="U242" s="68"/>
      <x:c r="V242" s="68"/>
      <x:c r="W242" s="68"/>
      <x:c r="X242" s="68"/>
      <x:c r="Y242" s="68"/>
      <x:c r="Z242" s="68"/>
    </x:row>
    <x:row r="243">
      <x:c r="A243" s="68"/>
      <x:c r="B243" s="68"/>
      <x:c r="C243" s="68"/>
      <x:c r="D243" s="68"/>
      <x:c r="E243" s="68"/>
      <x:c r="F243" s="68"/>
      <x:c r="G243" s="68"/>
      <x:c r="H243" s="68"/>
      <x:c r="I243" s="68"/>
      <x:c r="J243" s="68"/>
      <x:c r="K243" s="68"/>
      <x:c r="L243" s="68"/>
      <x:c r="M243" s="68"/>
      <x:c r="N243" s="68"/>
      <x:c r="O243" s="68"/>
      <x:c r="P243" s="68"/>
      <x:c r="Q243" s="68"/>
      <x:c r="R243" s="68"/>
      <x:c r="S243" s="68"/>
      <x:c r="T243" s="68"/>
      <x:c r="U243" s="68"/>
      <x:c r="V243" s="68"/>
      <x:c r="W243" s="68"/>
      <x:c r="X243" s="68"/>
      <x:c r="Y243" s="68"/>
      <x:c r="Z243" s="68"/>
    </x:row>
    <x:row r="244">
      <x:c r="A244" s="68"/>
      <x:c r="B244" s="68"/>
      <x:c r="C244" s="68"/>
      <x:c r="D244" s="68"/>
      <x:c r="E244" s="68"/>
      <x:c r="F244" s="68"/>
      <x:c r="G244" s="68"/>
      <x:c r="H244" s="68"/>
      <x:c r="I244" s="68"/>
      <x:c r="J244" s="68"/>
      <x:c r="K244" s="68"/>
      <x:c r="L244" s="68"/>
      <x:c r="M244" s="68"/>
      <x:c r="N244" s="68"/>
      <x:c r="O244" s="68"/>
      <x:c r="P244" s="68"/>
      <x:c r="Q244" s="68"/>
      <x:c r="R244" s="68"/>
      <x:c r="S244" s="68"/>
      <x:c r="T244" s="68"/>
      <x:c r="U244" s="68"/>
      <x:c r="V244" s="68"/>
      <x:c r="W244" s="68"/>
      <x:c r="X244" s="68"/>
      <x:c r="Y244" s="68"/>
      <x:c r="Z244" s="68"/>
    </x:row>
    <x:row r="245">
      <x:c r="A245" s="68"/>
      <x:c r="B245" s="68"/>
      <x:c r="C245" s="68"/>
      <x:c r="D245" s="68"/>
      <x:c r="E245" s="68"/>
      <x:c r="F245" s="68"/>
      <x:c r="G245" s="68"/>
      <x:c r="H245" s="68"/>
      <x:c r="I245" s="68"/>
      <x:c r="J245" s="68"/>
      <x:c r="K245" s="68"/>
      <x:c r="L245" s="68"/>
      <x:c r="M245" s="68"/>
      <x:c r="N245" s="68"/>
      <x:c r="O245" s="68"/>
      <x:c r="P245" s="68"/>
      <x:c r="Q245" s="68"/>
      <x:c r="R245" s="68"/>
      <x:c r="S245" s="68"/>
      <x:c r="T245" s="68"/>
      <x:c r="U245" s="68"/>
      <x:c r="V245" s="68"/>
      <x:c r="W245" s="68"/>
      <x:c r="X245" s="68"/>
      <x:c r="Y245" s="68"/>
      <x:c r="Z245" s="68"/>
    </x:row>
    <x:row r="246">
      <x:c r="A246" s="68"/>
      <x:c r="B246" s="68"/>
      <x:c r="C246" s="68"/>
      <x:c r="D246" s="68"/>
      <x:c r="E246" s="68"/>
      <x:c r="F246" s="68"/>
      <x:c r="G246" s="68"/>
      <x:c r="H246" s="68"/>
      <x:c r="I246" s="68"/>
      <x:c r="J246" s="68"/>
      <x:c r="K246" s="68"/>
      <x:c r="L246" s="68"/>
      <x:c r="M246" s="68"/>
      <x:c r="N246" s="68"/>
      <x:c r="O246" s="68"/>
      <x:c r="P246" s="68"/>
      <x:c r="Q246" s="68"/>
      <x:c r="R246" s="68"/>
      <x:c r="S246" s="68"/>
      <x:c r="T246" s="68"/>
      <x:c r="U246" s="68"/>
      <x:c r="V246" s="68"/>
      <x:c r="W246" s="68"/>
      <x:c r="X246" s="68"/>
      <x:c r="Y246" s="68"/>
      <x:c r="Z246" s="68"/>
    </x:row>
    <x:row r="247">
      <x:c r="A247" s="68"/>
      <x:c r="B247" s="68"/>
      <x:c r="C247" s="68"/>
      <x:c r="D247" s="68"/>
      <x:c r="E247" s="68"/>
      <x:c r="F247" s="68"/>
      <x:c r="G247" s="68"/>
      <x:c r="H247" s="68"/>
      <x:c r="I247" s="68"/>
      <x:c r="J247" s="68"/>
      <x:c r="K247" s="68"/>
      <x:c r="L247" s="68"/>
      <x:c r="M247" s="68"/>
      <x:c r="N247" s="68"/>
      <x:c r="O247" s="68"/>
      <x:c r="P247" s="68"/>
      <x:c r="Q247" s="68"/>
      <x:c r="R247" s="68"/>
      <x:c r="S247" s="68"/>
      <x:c r="T247" s="68"/>
      <x:c r="U247" s="68"/>
      <x:c r="V247" s="68"/>
      <x:c r="W247" s="68"/>
      <x:c r="X247" s="68"/>
      <x:c r="Y247" s="68"/>
      <x:c r="Z247" s="68"/>
    </x:row>
    <x:row r="248">
      <x:c r="A248" s="68"/>
      <x:c r="B248" s="68"/>
      <x:c r="C248" s="68"/>
      <x:c r="D248" s="68"/>
      <x:c r="E248" s="68"/>
      <x:c r="F248" s="68"/>
      <x:c r="G248" s="68"/>
      <x:c r="H248" s="68"/>
      <x:c r="I248" s="68"/>
      <x:c r="J248" s="68"/>
      <x:c r="K248" s="68"/>
      <x:c r="L248" s="68"/>
      <x:c r="M248" s="68"/>
      <x:c r="N248" s="68"/>
      <x:c r="O248" s="68"/>
      <x:c r="P248" s="68"/>
      <x:c r="Q248" s="68"/>
      <x:c r="R248" s="68"/>
      <x:c r="S248" s="68"/>
      <x:c r="T248" s="68"/>
      <x:c r="U248" s="68"/>
      <x:c r="V248" s="68"/>
      <x:c r="W248" s="68"/>
      <x:c r="X248" s="68"/>
      <x:c r="Y248" s="68"/>
      <x:c r="Z248" s="68"/>
    </x:row>
    <x:row r="249">
      <x:c r="A249" s="68"/>
      <x:c r="B249" s="68"/>
      <x:c r="C249" s="68"/>
      <x:c r="D249" s="68"/>
      <x:c r="E249" s="68"/>
      <x:c r="F249" s="68"/>
      <x:c r="G249" s="68"/>
      <x:c r="H249" s="68"/>
      <x:c r="I249" s="68"/>
      <x:c r="J249" s="68"/>
      <x:c r="K249" s="68"/>
      <x:c r="L249" s="68"/>
      <x:c r="M249" s="68"/>
      <x:c r="N249" s="68"/>
      <x:c r="O249" s="68"/>
      <x:c r="P249" s="68"/>
      <x:c r="Q249" s="68"/>
      <x:c r="R249" s="68"/>
      <x:c r="S249" s="68"/>
      <x:c r="T249" s="68"/>
      <x:c r="U249" s="68"/>
      <x:c r="V249" s="68"/>
      <x:c r="W249" s="68"/>
      <x:c r="X249" s="68"/>
      <x:c r="Y249" s="68"/>
      <x:c r="Z249" s="68"/>
    </x:row>
    <x:row r="250">
      <x:c r="A250" s="68"/>
      <x:c r="B250" s="68"/>
      <x:c r="C250" s="68"/>
      <x:c r="D250" s="68"/>
      <x:c r="E250" s="68"/>
      <x:c r="F250" s="68"/>
      <x:c r="G250" s="68"/>
      <x:c r="H250" s="68"/>
      <x:c r="I250" s="68"/>
      <x:c r="J250" s="68"/>
      <x:c r="K250" s="68"/>
      <x:c r="L250" s="68"/>
      <x:c r="M250" s="68"/>
      <x:c r="N250" s="68"/>
      <x:c r="O250" s="68"/>
      <x:c r="P250" s="68"/>
      <x:c r="Q250" s="68"/>
      <x:c r="R250" s="68"/>
      <x:c r="S250" s="68"/>
      <x:c r="T250" s="68"/>
      <x:c r="U250" s="68"/>
      <x:c r="V250" s="68"/>
      <x:c r="W250" s="68"/>
      <x:c r="X250" s="68"/>
      <x:c r="Y250" s="68"/>
      <x:c r="Z250" s="68"/>
    </x:row>
    <x:row r="251">
      <x:c r="A251" s="68"/>
      <x:c r="B251" s="68"/>
      <x:c r="C251" s="68"/>
      <x:c r="D251" s="68"/>
      <x:c r="E251" s="68"/>
      <x:c r="F251" s="68"/>
      <x:c r="G251" s="68"/>
      <x:c r="H251" s="68"/>
      <x:c r="I251" s="68"/>
      <x:c r="J251" s="68"/>
      <x:c r="K251" s="68"/>
      <x:c r="L251" s="68"/>
      <x:c r="M251" s="68"/>
      <x:c r="N251" s="68"/>
      <x:c r="O251" s="68"/>
      <x:c r="P251" s="68"/>
      <x:c r="Q251" s="68"/>
      <x:c r="R251" s="68"/>
      <x:c r="S251" s="68"/>
      <x:c r="T251" s="68"/>
      <x:c r="U251" s="68"/>
      <x:c r="V251" s="68"/>
      <x:c r="W251" s="68"/>
      <x:c r="X251" s="68"/>
      <x:c r="Y251" s="68"/>
      <x:c r="Z251" s="68"/>
    </x:row>
    <x:row r="252">
      <x:c r="A252" s="68"/>
      <x:c r="B252" s="68"/>
      <x:c r="C252" s="68"/>
      <x:c r="D252" s="68"/>
      <x:c r="E252" s="68"/>
      <x:c r="F252" s="68"/>
      <x:c r="G252" s="68"/>
      <x:c r="H252" s="68"/>
      <x:c r="I252" s="68"/>
      <x:c r="J252" s="68"/>
      <x:c r="K252" s="68"/>
      <x:c r="L252" s="68"/>
      <x:c r="M252" s="68"/>
      <x:c r="N252" s="68"/>
      <x:c r="O252" s="68"/>
      <x:c r="P252" s="68"/>
      <x:c r="Q252" s="68"/>
      <x:c r="R252" s="68"/>
      <x:c r="S252" s="68"/>
      <x:c r="T252" s="68"/>
      <x:c r="U252" s="68"/>
      <x:c r="V252" s="68"/>
      <x:c r="W252" s="68"/>
      <x:c r="X252" s="68"/>
      <x:c r="Y252" s="68"/>
      <x:c r="Z252" s="68"/>
    </x:row>
    <x:row r="253">
      <x:c r="A253" s="68"/>
      <x:c r="B253" s="68"/>
      <x:c r="C253" s="68"/>
      <x:c r="D253" s="68"/>
      <x:c r="E253" s="68"/>
      <x:c r="F253" s="68"/>
      <x:c r="G253" s="68"/>
      <x:c r="H253" s="68"/>
      <x:c r="I253" s="68"/>
      <x:c r="J253" s="68"/>
      <x:c r="K253" s="68"/>
      <x:c r="L253" s="68"/>
      <x:c r="M253" s="68"/>
      <x:c r="N253" s="68"/>
      <x:c r="O253" s="68"/>
      <x:c r="P253" s="68"/>
      <x:c r="Q253" s="68"/>
      <x:c r="R253" s="68"/>
      <x:c r="S253" s="68"/>
      <x:c r="T253" s="68"/>
      <x:c r="U253" s="68"/>
      <x:c r="V253" s="68"/>
      <x:c r="W253" s="68"/>
      <x:c r="X253" s="68"/>
      <x:c r="Y253" s="68"/>
      <x:c r="Z253" s="68"/>
    </x:row>
    <x:row r="254">
      <x:c r="A254" s="68"/>
      <x:c r="B254" s="68"/>
      <x:c r="C254" s="68"/>
      <x:c r="D254" s="68"/>
      <x:c r="E254" s="68"/>
      <x:c r="F254" s="68"/>
      <x:c r="G254" s="68"/>
      <x:c r="H254" s="68"/>
      <x:c r="I254" s="68"/>
      <x:c r="J254" s="68"/>
      <x:c r="K254" s="68"/>
      <x:c r="L254" s="68"/>
      <x:c r="M254" s="68"/>
      <x:c r="N254" s="68"/>
      <x:c r="O254" s="68"/>
      <x:c r="P254" s="68"/>
      <x:c r="Q254" s="68"/>
      <x:c r="R254" s="68"/>
      <x:c r="S254" s="68"/>
      <x:c r="T254" s="68"/>
      <x:c r="U254" s="68"/>
      <x:c r="V254" s="68"/>
      <x:c r="W254" s="68"/>
      <x:c r="X254" s="68"/>
      <x:c r="Y254" s="68"/>
      <x:c r="Z254" s="68"/>
    </x:row>
    <x:row r="255">
      <x:c r="A255" s="68"/>
      <x:c r="B255" s="68"/>
      <x:c r="C255" s="68"/>
      <x:c r="D255" s="68"/>
      <x:c r="E255" s="68"/>
      <x:c r="F255" s="68"/>
      <x:c r="G255" s="68"/>
      <x:c r="H255" s="68"/>
      <x:c r="I255" s="68"/>
      <x:c r="J255" s="68"/>
      <x:c r="K255" s="68"/>
      <x:c r="L255" s="68"/>
      <x:c r="M255" s="68"/>
      <x:c r="N255" s="68"/>
      <x:c r="O255" s="68"/>
      <x:c r="P255" s="68"/>
      <x:c r="Q255" s="68"/>
      <x:c r="R255" s="68"/>
      <x:c r="S255" s="68"/>
      <x:c r="T255" s="68"/>
      <x:c r="U255" s="68"/>
      <x:c r="V255" s="68"/>
      <x:c r="W255" s="68"/>
      <x:c r="X255" s="68"/>
      <x:c r="Y255" s="68"/>
      <x:c r="Z255" s="68"/>
    </x:row>
    <x:row r="256">
      <x:c r="A256" s="68"/>
      <x:c r="B256" s="68"/>
      <x:c r="C256" s="68"/>
      <x:c r="D256" s="68"/>
      <x:c r="E256" s="68"/>
      <x:c r="F256" s="68"/>
      <x:c r="G256" s="68"/>
      <x:c r="H256" s="68"/>
      <x:c r="I256" s="68"/>
      <x:c r="J256" s="68"/>
      <x:c r="K256" s="68"/>
      <x:c r="L256" s="68"/>
      <x:c r="M256" s="68"/>
      <x:c r="N256" s="68"/>
      <x:c r="O256" s="68"/>
      <x:c r="P256" s="68"/>
      <x:c r="Q256" s="68"/>
      <x:c r="R256" s="68"/>
      <x:c r="S256" s="68"/>
      <x:c r="T256" s="68"/>
      <x:c r="U256" s="68"/>
      <x:c r="V256" s="68"/>
      <x:c r="W256" s="68"/>
      <x:c r="X256" s="68"/>
      <x:c r="Y256" s="68"/>
      <x:c r="Z256" s="68"/>
    </x:row>
    <x:row r="257">
      <x:c r="A257" s="68"/>
      <x:c r="B257" s="68"/>
      <x:c r="C257" s="68"/>
      <x:c r="D257" s="68"/>
      <x:c r="E257" s="68"/>
      <x:c r="F257" s="68"/>
      <x:c r="G257" s="68"/>
      <x:c r="H257" s="68"/>
      <x:c r="I257" s="68"/>
      <x:c r="J257" s="68"/>
      <x:c r="K257" s="68"/>
      <x:c r="L257" s="68"/>
      <x:c r="M257" s="68"/>
      <x:c r="N257" s="68"/>
      <x:c r="O257" s="68"/>
      <x:c r="P257" s="68"/>
      <x:c r="Q257" s="68"/>
      <x:c r="R257" s="68"/>
      <x:c r="S257" s="68"/>
      <x:c r="T257" s="68"/>
      <x:c r="U257" s="68"/>
      <x:c r="V257" s="68"/>
      <x:c r="W257" s="68"/>
      <x:c r="X257" s="68"/>
      <x:c r="Y257" s="68"/>
      <x:c r="Z257" s="68"/>
    </x:row>
    <x:row r="258">
      <x:c r="A258" s="68"/>
      <x:c r="B258" s="68"/>
      <x:c r="C258" s="68"/>
      <x:c r="D258" s="68"/>
      <x:c r="E258" s="68"/>
      <x:c r="F258" s="68"/>
      <x:c r="G258" s="68"/>
      <x:c r="H258" s="68"/>
      <x:c r="I258" s="68"/>
      <x:c r="J258" s="68"/>
      <x:c r="K258" s="68"/>
      <x:c r="L258" s="68"/>
      <x:c r="M258" s="68"/>
      <x:c r="N258" s="68"/>
      <x:c r="O258" s="68"/>
      <x:c r="P258" s="68"/>
      <x:c r="Q258" s="68"/>
      <x:c r="R258" s="68"/>
      <x:c r="S258" s="68"/>
      <x:c r="T258" s="68"/>
      <x:c r="U258" s="68"/>
      <x:c r="V258" s="68"/>
      <x:c r="W258" s="68"/>
      <x:c r="X258" s="68"/>
      <x:c r="Y258" s="68"/>
      <x:c r="Z258" s="68"/>
    </x:row>
    <x:row r="259">
      <x:c r="A259" s="68"/>
      <x:c r="B259" s="68"/>
      <x:c r="C259" s="68"/>
      <x:c r="D259" s="68"/>
      <x:c r="E259" s="68"/>
      <x:c r="F259" s="68"/>
      <x:c r="G259" s="68"/>
      <x:c r="H259" s="68"/>
      <x:c r="I259" s="68"/>
      <x:c r="J259" s="68"/>
      <x:c r="K259" s="68"/>
      <x:c r="L259" s="68"/>
      <x:c r="M259" s="68"/>
      <x:c r="N259" s="68"/>
      <x:c r="O259" s="68"/>
      <x:c r="P259" s="68"/>
      <x:c r="Q259" s="68"/>
      <x:c r="R259" s="68"/>
      <x:c r="S259" s="68"/>
      <x:c r="T259" s="68"/>
      <x:c r="U259" s="68"/>
      <x:c r="V259" s="68"/>
      <x:c r="W259" s="68"/>
      <x:c r="X259" s="68"/>
      <x:c r="Y259" s="68"/>
      <x:c r="Z259" s="68"/>
    </x:row>
    <x:row r="260">
      <x:c r="A260" s="68"/>
      <x:c r="B260" s="68"/>
      <x:c r="C260" s="68"/>
      <x:c r="D260" s="68"/>
      <x:c r="E260" s="68"/>
      <x:c r="F260" s="68"/>
      <x:c r="G260" s="68"/>
      <x:c r="H260" s="68"/>
      <x:c r="I260" s="68"/>
      <x:c r="J260" s="68"/>
      <x:c r="K260" s="68"/>
      <x:c r="L260" s="68"/>
      <x:c r="M260" s="68"/>
      <x:c r="N260" s="68"/>
      <x:c r="O260" s="68"/>
      <x:c r="P260" s="68"/>
      <x:c r="Q260" s="68"/>
      <x:c r="R260" s="68"/>
      <x:c r="S260" s="68"/>
      <x:c r="T260" s="68"/>
      <x:c r="U260" s="68"/>
      <x:c r="V260" s="68"/>
      <x:c r="W260" s="68"/>
      <x:c r="X260" s="68"/>
      <x:c r="Y260" s="68"/>
      <x:c r="Z260" s="68"/>
    </x:row>
    <x:row r="261">
      <x:c r="A261" s="68"/>
      <x:c r="B261" s="68"/>
      <x:c r="C261" s="68"/>
      <x:c r="D261" s="68"/>
      <x:c r="E261" s="68"/>
      <x:c r="F261" s="68"/>
      <x:c r="G261" s="68"/>
      <x:c r="H261" s="68"/>
      <x:c r="I261" s="68"/>
      <x:c r="J261" s="68"/>
      <x:c r="K261" s="68"/>
      <x:c r="L261" s="68"/>
      <x:c r="M261" s="68"/>
      <x:c r="N261" s="68"/>
      <x:c r="O261" s="68"/>
      <x:c r="P261" s="68"/>
      <x:c r="Q261" s="68"/>
      <x:c r="R261" s="68"/>
      <x:c r="S261" s="68"/>
      <x:c r="T261" s="68"/>
      <x:c r="U261" s="68"/>
      <x:c r="V261" s="68"/>
      <x:c r="W261" s="68"/>
      <x:c r="X261" s="68"/>
      <x:c r="Y261" s="68"/>
      <x:c r="Z261" s="68"/>
    </x:row>
    <x:row r="262">
      <x:c r="A262" s="68"/>
      <x:c r="B262" s="68"/>
      <x:c r="C262" s="68"/>
      <x:c r="D262" s="68"/>
      <x:c r="E262" s="68"/>
      <x:c r="F262" s="68"/>
      <x:c r="G262" s="68"/>
      <x:c r="H262" s="68"/>
      <x:c r="I262" s="68"/>
      <x:c r="J262" s="68"/>
      <x:c r="K262" s="68"/>
      <x:c r="L262" s="68"/>
      <x:c r="M262" s="68"/>
      <x:c r="N262" s="68"/>
      <x:c r="O262" s="68"/>
      <x:c r="P262" s="68"/>
      <x:c r="Q262" s="68"/>
      <x:c r="R262" s="68"/>
      <x:c r="S262" s="68"/>
      <x:c r="T262" s="68"/>
      <x:c r="U262" s="68"/>
      <x:c r="V262" s="68"/>
      <x:c r="W262" s="68"/>
      <x:c r="X262" s="68"/>
      <x:c r="Y262" s="68"/>
      <x:c r="Z262" s="68"/>
    </x:row>
    <x:row r="263">
      <x:c r="A263" s="68"/>
      <x:c r="B263" s="68"/>
      <x:c r="C263" s="68"/>
      <x:c r="D263" s="68"/>
      <x:c r="E263" s="68"/>
      <x:c r="F263" s="68"/>
      <x:c r="G263" s="68"/>
      <x:c r="H263" s="68"/>
      <x:c r="I263" s="68"/>
      <x:c r="J263" s="68"/>
      <x:c r="K263" s="68"/>
      <x:c r="L263" s="68"/>
      <x:c r="M263" s="68"/>
      <x:c r="N263" s="68"/>
      <x:c r="O263" s="68"/>
      <x:c r="P263" s="68"/>
      <x:c r="Q263" s="68"/>
      <x:c r="R263" s="68"/>
      <x:c r="S263" s="68"/>
      <x:c r="T263" s="68"/>
      <x:c r="U263" s="68"/>
      <x:c r="V263" s="68"/>
      <x:c r="W263" s="68"/>
      <x:c r="X263" s="68"/>
      <x:c r="Y263" s="68"/>
      <x:c r="Z263" s="68"/>
    </x:row>
    <x:row r="264">
      <x:c r="A264" s="68"/>
      <x:c r="B264" s="68"/>
      <x:c r="C264" s="68"/>
      <x:c r="D264" s="68"/>
      <x:c r="E264" s="68"/>
      <x:c r="F264" s="68"/>
      <x:c r="G264" s="68"/>
      <x:c r="H264" s="68"/>
      <x:c r="I264" s="68"/>
      <x:c r="J264" s="68"/>
      <x:c r="K264" s="68"/>
      <x:c r="L264" s="68"/>
      <x:c r="M264" s="68"/>
      <x:c r="N264" s="68"/>
      <x:c r="O264" s="68"/>
      <x:c r="P264" s="68"/>
      <x:c r="Q264" s="68"/>
      <x:c r="R264" s="68"/>
      <x:c r="S264" s="68"/>
      <x:c r="T264" s="68"/>
      <x:c r="U264" s="68"/>
      <x:c r="V264" s="68"/>
      <x:c r="W264" s="68"/>
      <x:c r="X264" s="68"/>
      <x:c r="Y264" s="68"/>
      <x:c r="Z264" s="68"/>
    </x:row>
    <x:row r="265">
      <x:c r="A265" s="68"/>
      <x:c r="B265" s="68"/>
      <x:c r="C265" s="68"/>
      <x:c r="D265" s="68"/>
      <x:c r="E265" s="68"/>
      <x:c r="F265" s="68"/>
      <x:c r="G265" s="68"/>
      <x:c r="H265" s="68"/>
      <x:c r="I265" s="68"/>
      <x:c r="J265" s="68"/>
      <x:c r="K265" s="68"/>
      <x:c r="L265" s="68"/>
      <x:c r="M265" s="68"/>
      <x:c r="N265" s="68"/>
      <x:c r="O265" s="68"/>
      <x:c r="P265" s="68"/>
      <x:c r="Q265" s="68"/>
      <x:c r="R265" s="68"/>
      <x:c r="S265" s="68"/>
      <x:c r="T265" s="68"/>
      <x:c r="U265" s="68"/>
      <x:c r="V265" s="68"/>
      <x:c r="W265" s="68"/>
      <x:c r="X265" s="68"/>
      <x:c r="Y265" s="68"/>
      <x:c r="Z265" s="68"/>
    </x:row>
    <x:row r="266">
      <x:c r="A266" s="68"/>
      <x:c r="B266" s="68"/>
      <x:c r="C266" s="68"/>
      <x:c r="D266" s="68"/>
      <x:c r="E266" s="68"/>
      <x:c r="F266" s="68"/>
      <x:c r="G266" s="68"/>
      <x:c r="H266" s="68"/>
      <x:c r="I266" s="68"/>
      <x:c r="J266" s="68"/>
      <x:c r="K266" s="68"/>
      <x:c r="L266" s="68"/>
      <x:c r="M266" s="68"/>
      <x:c r="N266" s="68"/>
      <x:c r="O266" s="68"/>
      <x:c r="P266" s="68"/>
      <x:c r="Q266" s="68"/>
      <x:c r="R266" s="68"/>
      <x:c r="S266" s="68"/>
      <x:c r="T266" s="68"/>
      <x:c r="U266" s="68"/>
      <x:c r="V266" s="68"/>
      <x:c r="W266" s="68"/>
      <x:c r="X266" s="68"/>
      <x:c r="Y266" s="68"/>
      <x:c r="Z266" s="68"/>
    </x:row>
    <x:row r="267">
      <x:c r="A267" s="68"/>
      <x:c r="B267" s="68"/>
      <x:c r="C267" s="68"/>
      <x:c r="D267" s="68"/>
      <x:c r="E267" s="68"/>
      <x:c r="F267" s="68"/>
      <x:c r="G267" s="68"/>
      <x:c r="H267" s="68"/>
      <x:c r="I267" s="68"/>
      <x:c r="J267" s="68"/>
      <x:c r="K267" s="68"/>
      <x:c r="L267" s="68"/>
      <x:c r="M267" s="68"/>
      <x:c r="N267" s="68"/>
      <x:c r="O267" s="68"/>
      <x:c r="P267" s="68"/>
      <x:c r="Q267" s="68"/>
      <x:c r="R267" s="68"/>
      <x:c r="S267" s="68"/>
      <x:c r="T267" s="68"/>
      <x:c r="U267" s="68"/>
      <x:c r="V267" s="68"/>
      <x:c r="W267" s="68"/>
      <x:c r="X267" s="68"/>
      <x:c r="Y267" s="68"/>
      <x:c r="Z267" s="68"/>
    </x:row>
    <x:row r="268">
      <x:c r="A268" s="68"/>
      <x:c r="B268" s="68"/>
      <x:c r="C268" s="68"/>
      <x:c r="D268" s="68"/>
      <x:c r="E268" s="68"/>
      <x:c r="F268" s="68"/>
      <x:c r="G268" s="68"/>
      <x:c r="H268" s="68"/>
      <x:c r="I268" s="68"/>
      <x:c r="J268" s="68"/>
      <x:c r="K268" s="68"/>
      <x:c r="L268" s="68"/>
      <x:c r="M268" s="68"/>
      <x:c r="N268" s="68"/>
      <x:c r="O268" s="68"/>
      <x:c r="P268" s="68"/>
      <x:c r="Q268" s="68"/>
      <x:c r="R268" s="68"/>
      <x:c r="S268" s="68"/>
      <x:c r="T268" s="68"/>
      <x:c r="U268" s="68"/>
      <x:c r="V268" s="68"/>
      <x:c r="W268" s="68"/>
      <x:c r="X268" s="68"/>
      <x:c r="Y268" s="68"/>
      <x:c r="Z268" s="68"/>
    </x:row>
    <x:row r="269">
      <x:c r="A269" s="68"/>
      <x:c r="B269" s="68"/>
      <x:c r="C269" s="68"/>
      <x:c r="D269" s="68"/>
      <x:c r="E269" s="68"/>
      <x:c r="F269" s="68"/>
      <x:c r="G269" s="68"/>
      <x:c r="H269" s="68"/>
      <x:c r="I269" s="68"/>
      <x:c r="J269" s="68"/>
      <x:c r="K269" s="68"/>
      <x:c r="L269" s="68"/>
      <x:c r="M269" s="68"/>
      <x:c r="N269" s="68"/>
      <x:c r="O269" s="68"/>
      <x:c r="P269" s="68"/>
      <x:c r="Q269" s="68"/>
      <x:c r="R269" s="68"/>
      <x:c r="S269" s="68"/>
      <x:c r="T269" s="68"/>
      <x:c r="U269" s="68"/>
      <x:c r="V269" s="68"/>
      <x:c r="W269" s="68"/>
      <x:c r="X269" s="68"/>
      <x:c r="Y269" s="68"/>
      <x:c r="Z269" s="68"/>
    </x:row>
    <x:row r="270">
      <x:c r="A270" s="68"/>
      <x:c r="B270" s="68"/>
      <x:c r="C270" s="68"/>
      <x:c r="D270" s="68"/>
      <x:c r="E270" s="68"/>
      <x:c r="F270" s="68"/>
      <x:c r="G270" s="68"/>
      <x:c r="H270" s="68"/>
      <x:c r="I270" s="68"/>
      <x:c r="J270" s="68"/>
      <x:c r="K270" s="68"/>
      <x:c r="L270" s="68"/>
      <x:c r="M270" s="68"/>
      <x:c r="N270" s="68"/>
      <x:c r="O270" s="68"/>
      <x:c r="P270" s="68"/>
      <x:c r="Q270" s="68"/>
      <x:c r="R270" s="68"/>
      <x:c r="S270" s="68"/>
      <x:c r="T270" s="68"/>
      <x:c r="U270" s="68"/>
      <x:c r="V270" s="68"/>
      <x:c r="W270" s="68"/>
      <x:c r="X270" s="68"/>
      <x:c r="Y270" s="68"/>
      <x:c r="Z270" s="68"/>
    </x:row>
    <x:row r="271">
      <x:c r="A271" s="68"/>
      <x:c r="B271" s="68"/>
      <x:c r="C271" s="68"/>
      <x:c r="D271" s="68"/>
      <x:c r="E271" s="68"/>
      <x:c r="F271" s="68"/>
      <x:c r="G271" s="68"/>
      <x:c r="H271" s="68"/>
      <x:c r="I271" s="68"/>
      <x:c r="J271" s="68"/>
      <x:c r="K271" s="68"/>
      <x:c r="L271" s="68"/>
      <x:c r="M271" s="68"/>
      <x:c r="N271" s="68"/>
      <x:c r="O271" s="68"/>
      <x:c r="P271" s="68"/>
      <x:c r="Q271" s="68"/>
      <x:c r="R271" s="68"/>
      <x:c r="S271" s="68"/>
      <x:c r="T271" s="68"/>
      <x:c r="U271" s="68"/>
      <x:c r="V271" s="68"/>
      <x:c r="W271" s="68"/>
      <x:c r="X271" s="68"/>
      <x:c r="Y271" s="68"/>
      <x:c r="Z271" s="68"/>
    </x:row>
    <x:row r="272">
      <x:c r="A272" s="68"/>
      <x:c r="B272" s="68"/>
      <x:c r="C272" s="68"/>
      <x:c r="D272" s="68"/>
      <x:c r="E272" s="68"/>
      <x:c r="F272" s="68"/>
      <x:c r="G272" s="68"/>
      <x:c r="H272" s="68"/>
      <x:c r="I272" s="68"/>
      <x:c r="J272" s="68"/>
      <x:c r="K272" s="68"/>
      <x:c r="L272" s="68"/>
      <x:c r="M272" s="68"/>
      <x:c r="N272" s="68"/>
      <x:c r="O272" s="68"/>
      <x:c r="P272" s="68"/>
      <x:c r="Q272" s="68"/>
      <x:c r="R272" s="68"/>
      <x:c r="S272" s="68"/>
      <x:c r="T272" s="68"/>
      <x:c r="U272" s="68"/>
      <x:c r="V272" s="68"/>
      <x:c r="W272" s="68"/>
      <x:c r="X272" s="68"/>
      <x:c r="Y272" s="68"/>
      <x:c r="Z272" s="68"/>
    </x:row>
    <x:row r="273">
      <x:c r="A273" s="68"/>
      <x:c r="B273" s="68"/>
      <x:c r="C273" s="68"/>
      <x:c r="D273" s="68"/>
      <x:c r="E273" s="68"/>
      <x:c r="F273" s="68"/>
      <x:c r="G273" s="68"/>
      <x:c r="H273" s="68"/>
      <x:c r="I273" s="68"/>
      <x:c r="J273" s="68"/>
      <x:c r="K273" s="68"/>
      <x:c r="L273" s="68"/>
      <x:c r="M273" s="68"/>
      <x:c r="N273" s="68"/>
      <x:c r="O273" s="68"/>
      <x:c r="P273" s="68"/>
      <x:c r="Q273" s="68"/>
      <x:c r="R273" s="68"/>
      <x:c r="S273" s="68"/>
      <x:c r="T273" s="68"/>
      <x:c r="U273" s="68"/>
      <x:c r="V273" s="68"/>
      <x:c r="W273" s="68"/>
      <x:c r="X273" s="68"/>
      <x:c r="Y273" s="68"/>
      <x:c r="Z273" s="68"/>
    </x:row>
    <x:row r="274">
      <x:c r="A274" s="68"/>
      <x:c r="B274" s="68"/>
      <x:c r="C274" s="68"/>
      <x:c r="D274" s="68"/>
      <x:c r="E274" s="68"/>
      <x:c r="F274" s="68"/>
      <x:c r="G274" s="68"/>
      <x:c r="H274" s="68"/>
      <x:c r="I274" s="68"/>
      <x:c r="J274" s="68"/>
      <x:c r="K274" s="68"/>
      <x:c r="L274" s="68"/>
      <x:c r="M274" s="68"/>
      <x:c r="N274" s="68"/>
      <x:c r="O274" s="68"/>
      <x:c r="P274" s="68"/>
      <x:c r="Q274" s="68"/>
      <x:c r="R274" s="68"/>
      <x:c r="S274" s="68"/>
      <x:c r="T274" s="68"/>
      <x:c r="U274" s="68"/>
      <x:c r="V274" s="68"/>
      <x:c r="W274" s="68"/>
      <x:c r="X274" s="68"/>
      <x:c r="Y274" s="68"/>
      <x:c r="Z274" s="68"/>
    </x:row>
    <x:row r="275">
      <x:c r="A275" s="68"/>
      <x:c r="B275" s="68"/>
      <x:c r="C275" s="68"/>
      <x:c r="D275" s="68"/>
      <x:c r="E275" s="68"/>
      <x:c r="F275" s="68"/>
      <x:c r="G275" s="68"/>
      <x:c r="H275" s="68"/>
      <x:c r="I275" s="68"/>
      <x:c r="J275" s="68"/>
      <x:c r="K275" s="68"/>
      <x:c r="L275" s="68"/>
      <x:c r="M275" s="68"/>
      <x:c r="N275" s="68"/>
      <x:c r="O275" s="68"/>
      <x:c r="P275" s="68"/>
      <x:c r="Q275" s="68"/>
      <x:c r="R275" s="68"/>
      <x:c r="S275" s="68"/>
      <x:c r="T275" s="68"/>
      <x:c r="U275" s="68"/>
      <x:c r="V275" s="68"/>
      <x:c r="W275" s="68"/>
      <x:c r="X275" s="68"/>
      <x:c r="Y275" s="68"/>
      <x:c r="Z275" s="68"/>
    </x:row>
    <x:row r="276">
      <x:c r="A276" s="68"/>
      <x:c r="B276" s="68"/>
      <x:c r="C276" s="68"/>
      <x:c r="D276" s="68"/>
      <x:c r="E276" s="68"/>
      <x:c r="F276" s="68"/>
      <x:c r="G276" s="68"/>
      <x:c r="H276" s="68"/>
      <x:c r="I276" s="68"/>
      <x:c r="J276" s="68"/>
      <x:c r="K276" s="68"/>
      <x:c r="L276" s="68"/>
      <x:c r="M276" s="68"/>
      <x:c r="N276" s="68"/>
      <x:c r="O276" s="68"/>
      <x:c r="P276" s="68"/>
      <x:c r="Q276" s="68"/>
      <x:c r="R276" s="68"/>
      <x:c r="S276" s="68"/>
      <x:c r="T276" s="68"/>
      <x:c r="U276" s="68"/>
      <x:c r="V276" s="68"/>
      <x:c r="W276" s="68"/>
      <x:c r="X276" s="68"/>
      <x:c r="Y276" s="68"/>
      <x:c r="Z276" s="68"/>
    </x:row>
    <x:row r="277">
      <x:c r="A277" s="68"/>
      <x:c r="B277" s="68"/>
      <x:c r="C277" s="68"/>
      <x:c r="D277" s="68"/>
      <x:c r="E277" s="68"/>
      <x:c r="F277" s="68"/>
      <x:c r="G277" s="68"/>
      <x:c r="H277" s="68"/>
      <x:c r="I277" s="68"/>
      <x:c r="J277" s="68"/>
      <x:c r="K277" s="68"/>
      <x:c r="L277" s="68"/>
      <x:c r="M277" s="68"/>
      <x:c r="N277" s="68"/>
      <x:c r="O277" s="68"/>
      <x:c r="P277" s="68"/>
      <x:c r="Q277" s="68"/>
      <x:c r="R277" s="68"/>
      <x:c r="S277" s="68"/>
      <x:c r="T277" s="68"/>
      <x:c r="U277" s="68"/>
      <x:c r="V277" s="68"/>
      <x:c r="W277" s="68"/>
      <x:c r="X277" s="68"/>
      <x:c r="Y277" s="68"/>
      <x:c r="Z277" s="68"/>
    </x:row>
    <x:row r="278">
      <x:c r="A278" s="68"/>
      <x:c r="B278" s="68"/>
      <x:c r="C278" s="68"/>
      <x:c r="D278" s="68"/>
      <x:c r="E278" s="68"/>
      <x:c r="F278" s="68"/>
      <x:c r="G278" s="68"/>
      <x:c r="H278" s="68"/>
      <x:c r="I278" s="68"/>
      <x:c r="J278" s="68"/>
      <x:c r="K278" s="68"/>
      <x:c r="L278" s="68"/>
      <x:c r="M278" s="68"/>
      <x:c r="N278" s="68"/>
      <x:c r="O278" s="68"/>
      <x:c r="P278" s="68"/>
      <x:c r="Q278" s="68"/>
      <x:c r="R278" s="68"/>
      <x:c r="S278" s="68"/>
      <x:c r="T278" s="68"/>
      <x:c r="U278" s="68"/>
      <x:c r="V278" s="68"/>
      <x:c r="W278" s="68"/>
      <x:c r="X278" s="68"/>
      <x:c r="Y278" s="68"/>
      <x:c r="Z278" s="68"/>
    </x:row>
    <x:row r="279">
      <x:c r="A279" s="68"/>
      <x:c r="B279" s="68"/>
      <x:c r="C279" s="68"/>
      <x:c r="D279" s="68"/>
      <x:c r="E279" s="68"/>
      <x:c r="F279" s="68"/>
      <x:c r="G279" s="68"/>
      <x:c r="H279" s="68"/>
      <x:c r="I279" s="68"/>
      <x:c r="J279" s="68"/>
      <x:c r="K279" s="68"/>
      <x:c r="L279" s="68"/>
      <x:c r="M279" s="68"/>
      <x:c r="N279" s="68"/>
      <x:c r="O279" s="68"/>
      <x:c r="P279" s="68"/>
      <x:c r="Q279" s="68"/>
      <x:c r="R279" s="68"/>
      <x:c r="S279" s="68"/>
      <x:c r="T279" s="68"/>
      <x:c r="U279" s="68"/>
      <x:c r="V279" s="68"/>
      <x:c r="W279" s="68"/>
      <x:c r="X279" s="68"/>
      <x:c r="Y279" s="68"/>
      <x:c r="Z279" s="68"/>
    </x:row>
    <x:row r="280">
      <x:c r="A280" s="68"/>
      <x:c r="B280" s="68"/>
      <x:c r="C280" s="68"/>
      <x:c r="D280" s="68"/>
      <x:c r="E280" s="68"/>
      <x:c r="F280" s="68"/>
      <x:c r="G280" s="68"/>
      <x:c r="H280" s="68"/>
      <x:c r="I280" s="68"/>
      <x:c r="J280" s="68"/>
      <x:c r="K280" s="68"/>
      <x:c r="L280" s="68"/>
      <x:c r="M280" s="68"/>
      <x:c r="N280" s="68"/>
      <x:c r="O280" s="68"/>
      <x:c r="P280" s="68"/>
      <x:c r="Q280" s="68"/>
      <x:c r="R280" s="68"/>
      <x:c r="S280" s="68"/>
      <x:c r="T280" s="68"/>
      <x:c r="U280" s="68"/>
      <x:c r="V280" s="68"/>
      <x:c r="W280" s="68"/>
      <x:c r="X280" s="68"/>
      <x:c r="Y280" s="68"/>
      <x:c r="Z280" s="68"/>
    </x:row>
    <x:row r="281">
      <x:c r="A281" s="68"/>
      <x:c r="B281" s="68"/>
      <x:c r="C281" s="68"/>
      <x:c r="D281" s="68"/>
      <x:c r="E281" s="68"/>
      <x:c r="F281" s="68"/>
      <x:c r="G281" s="68"/>
      <x:c r="H281" s="68"/>
      <x:c r="I281" s="68"/>
      <x:c r="J281" s="68"/>
      <x:c r="K281" s="68"/>
      <x:c r="L281" s="68"/>
      <x:c r="M281" s="68"/>
      <x:c r="N281" s="68"/>
      <x:c r="O281" s="68"/>
      <x:c r="P281" s="68"/>
      <x:c r="Q281" s="68"/>
      <x:c r="R281" s="68"/>
      <x:c r="S281" s="68"/>
      <x:c r="T281" s="68"/>
      <x:c r="U281" s="68"/>
      <x:c r="V281" s="68"/>
      <x:c r="W281" s="68"/>
      <x:c r="X281" s="68"/>
      <x:c r="Y281" s="68"/>
      <x:c r="Z281" s="68"/>
    </x:row>
    <x:row r="282">
      <x:c r="A282" s="68"/>
      <x:c r="B282" s="68"/>
      <x:c r="C282" s="68"/>
      <x:c r="D282" s="68"/>
      <x:c r="E282" s="68"/>
      <x:c r="F282" s="68"/>
      <x:c r="G282" s="68"/>
      <x:c r="H282" s="68"/>
      <x:c r="I282" s="68"/>
      <x:c r="J282" s="68"/>
      <x:c r="K282" s="68"/>
      <x:c r="L282" s="68"/>
      <x:c r="M282" s="68"/>
      <x:c r="N282" s="68"/>
      <x:c r="O282" s="68"/>
      <x:c r="P282" s="68"/>
      <x:c r="Q282" s="68"/>
      <x:c r="R282" s="68"/>
      <x:c r="S282" s="68"/>
      <x:c r="T282" s="68"/>
      <x:c r="U282" s="68"/>
      <x:c r="V282" s="68"/>
      <x:c r="W282" s="68"/>
      <x:c r="X282" s="68"/>
      <x:c r="Y282" s="68"/>
      <x:c r="Z282" s="68"/>
    </x:row>
    <x:row r="283">
      <x:c r="A283" s="68"/>
      <x:c r="B283" s="68"/>
      <x:c r="C283" s="68"/>
      <x:c r="D283" s="68"/>
      <x:c r="E283" s="68"/>
      <x:c r="F283" s="68"/>
      <x:c r="G283" s="68"/>
      <x:c r="H283" s="68"/>
      <x:c r="I283" s="68"/>
      <x:c r="J283" s="68"/>
      <x:c r="K283" s="68"/>
      <x:c r="L283" s="68"/>
      <x:c r="M283" s="68"/>
      <x:c r="N283" s="68"/>
      <x:c r="O283" s="68"/>
      <x:c r="P283" s="68"/>
      <x:c r="Q283" s="68"/>
      <x:c r="R283" s="68"/>
      <x:c r="S283" s="68"/>
      <x:c r="T283" s="68"/>
      <x:c r="U283" s="68"/>
      <x:c r="V283" s="68"/>
      <x:c r="W283" s="68"/>
      <x:c r="X283" s="68"/>
      <x:c r="Y283" s="68"/>
      <x:c r="Z283" s="68"/>
    </x:row>
    <x:row r="284">
      <x:c r="A284" s="68"/>
      <x:c r="B284" s="68"/>
      <x:c r="C284" s="68"/>
      <x:c r="D284" s="68"/>
      <x:c r="E284" s="68"/>
      <x:c r="F284" s="68"/>
      <x:c r="G284" s="68"/>
      <x:c r="H284" s="68"/>
      <x:c r="I284" s="68"/>
      <x:c r="J284" s="68"/>
      <x:c r="K284" s="68"/>
      <x:c r="L284" s="68"/>
      <x:c r="M284" s="68"/>
      <x:c r="N284" s="68"/>
      <x:c r="O284" s="68"/>
      <x:c r="P284" s="68"/>
      <x:c r="Q284" s="68"/>
      <x:c r="R284" s="68"/>
      <x:c r="S284" s="68"/>
      <x:c r="T284" s="68"/>
      <x:c r="U284" s="68"/>
      <x:c r="V284" s="68"/>
      <x:c r="W284" s="68"/>
      <x:c r="X284" s="68"/>
      <x:c r="Y284" s="68"/>
      <x:c r="Z284" s="68"/>
    </x:row>
    <x:row r="285">
      <x:c r="A285" s="68"/>
      <x:c r="B285" s="68"/>
      <x:c r="C285" s="68"/>
      <x:c r="D285" s="68"/>
      <x:c r="E285" s="68"/>
      <x:c r="F285" s="68"/>
      <x:c r="G285" s="68"/>
      <x:c r="H285" s="68"/>
      <x:c r="I285" s="68"/>
      <x:c r="J285" s="68"/>
      <x:c r="K285" s="68"/>
      <x:c r="L285" s="68"/>
      <x:c r="M285" s="68"/>
      <x:c r="N285" s="68"/>
      <x:c r="O285" s="68"/>
      <x:c r="P285" s="68"/>
      <x:c r="Q285" s="68"/>
      <x:c r="R285" s="68"/>
      <x:c r="S285" s="68"/>
      <x:c r="T285" s="68"/>
      <x:c r="U285" s="68"/>
      <x:c r="V285" s="68"/>
      <x:c r="W285" s="68"/>
      <x:c r="X285" s="68"/>
      <x:c r="Y285" s="68"/>
      <x:c r="Z285" s="68"/>
    </x:row>
    <x:row r="286">
      <x:c r="A286" s="68"/>
      <x:c r="B286" s="68"/>
      <x:c r="C286" s="68"/>
      <x:c r="D286" s="68"/>
      <x:c r="E286" s="68"/>
      <x:c r="F286" s="68"/>
      <x:c r="G286" s="68"/>
      <x:c r="H286" s="68"/>
      <x:c r="I286" s="68"/>
      <x:c r="J286" s="68"/>
      <x:c r="K286" s="68"/>
      <x:c r="L286" s="68"/>
      <x:c r="M286" s="68"/>
      <x:c r="N286" s="68"/>
      <x:c r="O286" s="68"/>
      <x:c r="P286" s="68"/>
      <x:c r="Q286" s="68"/>
      <x:c r="R286" s="68"/>
      <x:c r="S286" s="68"/>
      <x:c r="T286" s="68"/>
      <x:c r="U286" s="68"/>
      <x:c r="V286" s="68"/>
      <x:c r="W286" s="68"/>
      <x:c r="X286" s="68"/>
      <x:c r="Y286" s="68"/>
      <x:c r="Z286" s="68"/>
    </x:row>
    <x:row r="287">
      <x:c r="A287" s="68"/>
      <x:c r="B287" s="68"/>
      <x:c r="C287" s="68"/>
      <x:c r="D287" s="68"/>
      <x:c r="E287" s="68"/>
      <x:c r="F287" s="68"/>
      <x:c r="G287" s="68"/>
      <x:c r="H287" s="68"/>
      <x:c r="I287" s="68"/>
      <x:c r="J287" s="68"/>
      <x:c r="K287" s="68"/>
      <x:c r="L287" s="68"/>
      <x:c r="M287" s="68"/>
      <x:c r="N287" s="68"/>
      <x:c r="O287" s="68"/>
      <x:c r="P287" s="68"/>
      <x:c r="Q287" s="68"/>
      <x:c r="R287" s="68"/>
      <x:c r="S287" s="68"/>
      <x:c r="T287" s="68"/>
      <x:c r="U287" s="68"/>
      <x:c r="V287" s="68"/>
      <x:c r="W287" s="68"/>
      <x:c r="X287" s="68"/>
      <x:c r="Y287" s="68"/>
      <x:c r="Z287" s="68"/>
    </x:row>
    <x:row r="288">
      <x:c r="A288" s="68"/>
      <x:c r="B288" s="68"/>
      <x:c r="C288" s="68"/>
      <x:c r="D288" s="68"/>
      <x:c r="E288" s="68"/>
      <x:c r="F288" s="68"/>
      <x:c r="G288" s="68"/>
      <x:c r="H288" s="68"/>
      <x:c r="I288" s="68"/>
      <x:c r="J288" s="68"/>
      <x:c r="K288" s="68"/>
      <x:c r="L288" s="68"/>
      <x:c r="M288" s="68"/>
      <x:c r="N288" s="68"/>
      <x:c r="O288" s="68"/>
      <x:c r="P288" s="68"/>
      <x:c r="Q288" s="68"/>
      <x:c r="R288" s="68"/>
      <x:c r="S288" s="68"/>
      <x:c r="T288" s="68"/>
      <x:c r="U288" s="68"/>
      <x:c r="V288" s="68"/>
      <x:c r="W288" s="68"/>
      <x:c r="X288" s="68"/>
      <x:c r="Y288" s="68"/>
      <x:c r="Z288" s="68"/>
    </x:row>
    <x:row r="289">
      <x:c r="A289" s="68"/>
      <x:c r="B289" s="68"/>
      <x:c r="C289" s="68"/>
      <x:c r="D289" s="68"/>
      <x:c r="E289" s="68"/>
      <x:c r="F289" s="68"/>
      <x:c r="G289" s="68"/>
      <x:c r="H289" s="68"/>
      <x:c r="I289" s="68"/>
      <x:c r="J289" s="68"/>
      <x:c r="K289" s="68"/>
      <x:c r="L289" s="68"/>
      <x:c r="M289" s="68"/>
      <x:c r="N289" s="68"/>
      <x:c r="O289" s="68"/>
      <x:c r="P289" s="68"/>
      <x:c r="Q289" s="68"/>
      <x:c r="R289" s="68"/>
      <x:c r="S289" s="68"/>
      <x:c r="T289" s="68"/>
      <x:c r="U289" s="68"/>
      <x:c r="V289" s="68"/>
      <x:c r="W289" s="68"/>
      <x:c r="X289" s="68"/>
      <x:c r="Y289" s="68"/>
      <x:c r="Z289" s="68"/>
    </x:row>
    <x:row r="290">
      <x:c r="A290" s="68"/>
      <x:c r="B290" s="68"/>
      <x:c r="C290" s="68"/>
      <x:c r="D290" s="68"/>
      <x:c r="E290" s="68"/>
      <x:c r="F290" s="68"/>
      <x:c r="G290" s="68"/>
      <x:c r="H290" s="68"/>
      <x:c r="I290" s="68"/>
      <x:c r="J290" s="68"/>
      <x:c r="K290" s="68"/>
      <x:c r="L290" s="68"/>
      <x:c r="M290" s="68"/>
      <x:c r="N290" s="68"/>
      <x:c r="O290" s="68"/>
      <x:c r="P290" s="68"/>
      <x:c r="Q290" s="68"/>
      <x:c r="R290" s="68"/>
      <x:c r="S290" s="68"/>
      <x:c r="T290" s="68"/>
      <x:c r="U290" s="68"/>
      <x:c r="V290" s="68"/>
      <x:c r="W290" s="68"/>
      <x:c r="X290" s="68"/>
      <x:c r="Y290" s="68"/>
      <x:c r="Z290" s="68"/>
    </x:row>
    <x:row r="291">
      <x:c r="A291" s="68"/>
      <x:c r="B291" s="68"/>
      <x:c r="C291" s="68"/>
      <x:c r="D291" s="68"/>
      <x:c r="E291" s="68"/>
      <x:c r="F291" s="68"/>
      <x:c r="G291" s="68"/>
      <x:c r="H291" s="68"/>
      <x:c r="I291" s="68"/>
      <x:c r="J291" s="68"/>
      <x:c r="K291" s="68"/>
      <x:c r="L291" s="68"/>
      <x:c r="M291" s="68"/>
      <x:c r="N291" s="68"/>
      <x:c r="O291" s="68"/>
      <x:c r="P291" s="68"/>
      <x:c r="Q291" s="68"/>
      <x:c r="R291" s="68"/>
      <x:c r="S291" s="68"/>
      <x:c r="T291" s="68"/>
      <x:c r="U291" s="68"/>
      <x:c r="V291" s="68"/>
      <x:c r="W291" s="68"/>
      <x:c r="X291" s="68"/>
      <x:c r="Y291" s="68"/>
      <x:c r="Z291" s="68"/>
    </x:row>
    <x:row r="292">
      <x:c r="A292" s="68"/>
      <x:c r="B292" s="68"/>
      <x:c r="C292" s="68"/>
      <x:c r="D292" s="68"/>
      <x:c r="E292" s="68"/>
      <x:c r="F292" s="68"/>
      <x:c r="G292" s="68"/>
      <x:c r="H292" s="68"/>
      <x:c r="I292" s="68"/>
      <x:c r="J292" s="68"/>
      <x:c r="K292" s="68"/>
      <x:c r="L292" s="68"/>
      <x:c r="M292" s="68"/>
      <x:c r="N292" s="68"/>
      <x:c r="O292" s="68"/>
      <x:c r="P292" s="68"/>
      <x:c r="Q292" s="68"/>
      <x:c r="R292" s="68"/>
      <x:c r="S292" s="68"/>
      <x:c r="T292" s="68"/>
      <x:c r="U292" s="68"/>
      <x:c r="V292" s="68"/>
      <x:c r="W292" s="68"/>
      <x:c r="X292" s="68"/>
      <x:c r="Y292" s="68"/>
      <x:c r="Z292" s="68"/>
    </x:row>
    <x:row r="293">
      <x:c r="A293" s="68"/>
      <x:c r="B293" s="68"/>
      <x:c r="C293" s="68"/>
      <x:c r="D293" s="68"/>
      <x:c r="E293" s="68"/>
      <x:c r="F293" s="68"/>
      <x:c r="G293" s="68"/>
      <x:c r="H293" s="68"/>
      <x:c r="I293" s="68"/>
      <x:c r="J293" s="68"/>
      <x:c r="K293" s="68"/>
      <x:c r="L293" s="68"/>
      <x:c r="M293" s="68"/>
      <x:c r="N293" s="68"/>
      <x:c r="O293" s="68"/>
      <x:c r="P293" s="68"/>
      <x:c r="Q293" s="68"/>
      <x:c r="R293" s="68"/>
      <x:c r="S293" s="68"/>
      <x:c r="T293" s="68"/>
      <x:c r="U293" s="68"/>
      <x:c r="V293" s="68"/>
      <x:c r="W293" s="68"/>
      <x:c r="X293" s="68"/>
      <x:c r="Y293" s="68"/>
      <x:c r="Z293" s="68"/>
    </x:row>
    <x:row r="294">
      <x:c r="A294" s="68"/>
      <x:c r="B294" s="68"/>
      <x:c r="C294" s="68"/>
      <x:c r="D294" s="68"/>
      <x:c r="E294" s="68"/>
      <x:c r="F294" s="68"/>
      <x:c r="G294" s="68"/>
      <x:c r="H294" s="68"/>
      <x:c r="I294" s="68"/>
      <x:c r="J294" s="68"/>
      <x:c r="K294" s="68"/>
      <x:c r="L294" s="68"/>
      <x:c r="M294" s="68"/>
      <x:c r="N294" s="68"/>
      <x:c r="O294" s="68"/>
      <x:c r="P294" s="68"/>
      <x:c r="Q294" s="68"/>
      <x:c r="R294" s="68"/>
      <x:c r="S294" s="68"/>
      <x:c r="T294" s="68"/>
      <x:c r="U294" s="68"/>
      <x:c r="V294" s="68"/>
      <x:c r="W294" s="68"/>
      <x:c r="X294" s="68"/>
      <x:c r="Y294" s="68"/>
      <x:c r="Z294" s="68"/>
    </x:row>
    <x:row r="295">
      <x:c r="A295" s="68"/>
      <x:c r="B295" s="68"/>
      <x:c r="C295" s="68"/>
      <x:c r="D295" s="68"/>
      <x:c r="E295" s="68"/>
      <x:c r="F295" s="68"/>
      <x:c r="G295" s="68"/>
      <x:c r="H295" s="68"/>
      <x:c r="I295" s="68"/>
      <x:c r="J295" s="68"/>
      <x:c r="K295" s="68"/>
      <x:c r="L295" s="68"/>
      <x:c r="M295" s="68"/>
      <x:c r="N295" s="68"/>
      <x:c r="O295" s="68"/>
      <x:c r="P295" s="68"/>
      <x:c r="Q295" s="68"/>
      <x:c r="R295" s="68"/>
      <x:c r="S295" s="68"/>
      <x:c r="T295" s="68"/>
      <x:c r="U295" s="68"/>
      <x:c r="V295" s="68"/>
      <x:c r="W295" s="68"/>
      <x:c r="X295" s="68"/>
      <x:c r="Y295" s="68"/>
      <x:c r="Z295" s="68"/>
    </x:row>
    <x:row r="296">
      <x:c r="A296" s="68"/>
      <x:c r="B296" s="68"/>
      <x:c r="C296" s="68"/>
      <x:c r="D296" s="68"/>
      <x:c r="E296" s="68"/>
      <x:c r="F296" s="68"/>
      <x:c r="G296" s="68"/>
      <x:c r="H296" s="68"/>
      <x:c r="I296" s="68"/>
      <x:c r="J296" s="68"/>
      <x:c r="K296" s="68"/>
      <x:c r="L296" s="68"/>
      <x:c r="M296" s="68"/>
      <x:c r="N296" s="68"/>
      <x:c r="O296" s="68"/>
      <x:c r="P296" s="68"/>
      <x:c r="Q296" s="68"/>
      <x:c r="R296" s="68"/>
      <x:c r="S296" s="68"/>
      <x:c r="T296" s="68"/>
      <x:c r="U296" s="68"/>
      <x:c r="V296" s="68"/>
      <x:c r="W296" s="68"/>
      <x:c r="X296" s="68"/>
      <x:c r="Y296" s="68"/>
      <x:c r="Z296" s="68"/>
    </x:row>
    <x:row r="297">
      <x:c r="A297" s="68"/>
      <x:c r="B297" s="68"/>
      <x:c r="C297" s="68"/>
      <x:c r="D297" s="68"/>
      <x:c r="E297" s="68"/>
      <x:c r="F297" s="68"/>
      <x:c r="G297" s="68"/>
      <x:c r="H297" s="68"/>
      <x:c r="I297" s="68"/>
      <x:c r="J297" s="68"/>
      <x:c r="K297" s="68"/>
      <x:c r="L297" s="68"/>
      <x:c r="M297" s="68"/>
      <x:c r="N297" s="68"/>
      <x:c r="O297" s="68"/>
      <x:c r="P297" s="68"/>
      <x:c r="Q297" s="68"/>
      <x:c r="R297" s="68"/>
      <x:c r="S297" s="68"/>
      <x:c r="T297" s="68"/>
      <x:c r="U297" s="68"/>
      <x:c r="V297" s="68"/>
      <x:c r="W297" s="68"/>
      <x:c r="X297" s="68"/>
      <x:c r="Y297" s="68"/>
      <x:c r="Z297" s="68"/>
    </x:row>
    <x:row r="298">
      <x:c r="A298" s="68"/>
      <x:c r="B298" s="68"/>
      <x:c r="C298" s="68"/>
      <x:c r="D298" s="68"/>
      <x:c r="E298" s="68"/>
      <x:c r="F298" s="68"/>
      <x:c r="G298" s="68"/>
      <x:c r="H298" s="68"/>
      <x:c r="I298" s="68"/>
      <x:c r="J298" s="68"/>
      <x:c r="K298" s="68"/>
      <x:c r="L298" s="68"/>
      <x:c r="M298" s="68"/>
      <x:c r="N298" s="68"/>
      <x:c r="O298" s="68"/>
      <x:c r="P298" s="68"/>
      <x:c r="Q298" s="68"/>
      <x:c r="R298" s="68"/>
      <x:c r="S298" s="68"/>
      <x:c r="T298" s="68"/>
      <x:c r="U298" s="68"/>
      <x:c r="V298" s="68"/>
      <x:c r="W298" s="68"/>
      <x:c r="X298" s="68"/>
      <x:c r="Y298" s="68"/>
      <x:c r="Z298" s="68"/>
    </x:row>
    <x:row r="299">
      <x:c r="A299" s="68"/>
      <x:c r="B299" s="68"/>
      <x:c r="C299" s="68"/>
      <x:c r="D299" s="68"/>
      <x:c r="E299" s="68"/>
      <x:c r="F299" s="68"/>
      <x:c r="G299" s="68"/>
      <x:c r="H299" s="68"/>
      <x:c r="I299" s="68"/>
      <x:c r="J299" s="68"/>
      <x:c r="K299" s="68"/>
      <x:c r="L299" s="68"/>
      <x:c r="M299" s="68"/>
      <x:c r="N299" s="68"/>
      <x:c r="O299" s="68"/>
      <x:c r="P299" s="68"/>
      <x:c r="Q299" s="68"/>
      <x:c r="R299" s="68"/>
      <x:c r="S299" s="68"/>
      <x:c r="T299" s="68"/>
      <x:c r="U299" s="68"/>
      <x:c r="V299" s="68"/>
      <x:c r="W299" s="68"/>
      <x:c r="X299" s="68"/>
      <x:c r="Y299" s="68"/>
      <x:c r="Z299" s="68"/>
    </x:row>
    <x:row r="300">
      <x:c r="A300" s="68"/>
      <x:c r="B300" s="68"/>
      <x:c r="C300" s="68"/>
      <x:c r="D300" s="68"/>
      <x:c r="E300" s="68"/>
      <x:c r="F300" s="68"/>
      <x:c r="G300" s="68"/>
      <x:c r="H300" s="68"/>
      <x:c r="I300" s="68"/>
      <x:c r="J300" s="68"/>
      <x:c r="K300" s="68"/>
      <x:c r="L300" s="68"/>
      <x:c r="M300" s="68"/>
      <x:c r="N300" s="68"/>
      <x:c r="O300" s="68"/>
      <x:c r="P300" s="68"/>
      <x:c r="Q300" s="68"/>
      <x:c r="R300" s="68"/>
      <x:c r="S300" s="68"/>
      <x:c r="T300" s="68"/>
      <x:c r="U300" s="68"/>
      <x:c r="V300" s="68"/>
      <x:c r="W300" s="68"/>
      <x:c r="X300" s="68"/>
      <x:c r="Y300" s="68"/>
      <x:c r="Z300" s="68"/>
    </x:row>
    <x:row r="301">
      <x:c r="A301" s="68"/>
      <x:c r="B301" s="68"/>
      <x:c r="C301" s="68"/>
      <x:c r="D301" s="68"/>
      <x:c r="E301" s="68"/>
      <x:c r="F301" s="68"/>
      <x:c r="G301" s="68"/>
      <x:c r="H301" s="68"/>
      <x:c r="I301" s="68"/>
      <x:c r="J301" s="68"/>
      <x:c r="K301" s="68"/>
      <x:c r="L301" s="68"/>
      <x:c r="M301" s="68"/>
      <x:c r="N301" s="68"/>
      <x:c r="O301" s="68"/>
      <x:c r="P301" s="68"/>
      <x:c r="Q301" s="68"/>
      <x:c r="R301" s="68"/>
      <x:c r="S301" s="68"/>
      <x:c r="T301" s="68"/>
      <x:c r="U301" s="68"/>
      <x:c r="V301" s="68"/>
      <x:c r="W301" s="68"/>
      <x:c r="X301" s="68"/>
      <x:c r="Y301" s="68"/>
      <x:c r="Z301" s="68"/>
    </x:row>
    <x:row r="302">
      <x:c r="A302" s="68"/>
      <x:c r="B302" s="68"/>
      <x:c r="C302" s="68"/>
      <x:c r="D302" s="68"/>
      <x:c r="E302" s="68"/>
      <x:c r="F302" s="68"/>
      <x:c r="G302" s="68"/>
      <x:c r="H302" s="68"/>
      <x:c r="I302" s="68"/>
      <x:c r="J302" s="68"/>
      <x:c r="K302" s="68"/>
      <x:c r="L302" s="68"/>
      <x:c r="M302" s="68"/>
      <x:c r="N302" s="68"/>
      <x:c r="O302" s="68"/>
      <x:c r="P302" s="68"/>
      <x:c r="Q302" s="68"/>
      <x:c r="R302" s="68"/>
      <x:c r="S302" s="68"/>
      <x:c r="T302" s="68"/>
      <x:c r="U302" s="68"/>
      <x:c r="V302" s="68"/>
      <x:c r="W302" s="68"/>
      <x:c r="X302" s="68"/>
      <x:c r="Y302" s="68"/>
      <x:c r="Z302" s="68"/>
    </x:row>
    <x:row r="303">
      <x:c r="A303" s="68"/>
      <x:c r="B303" s="68"/>
      <x:c r="C303" s="68"/>
      <x:c r="D303" s="68"/>
      <x:c r="E303" s="68"/>
      <x:c r="F303" s="68"/>
      <x:c r="G303" s="68"/>
      <x:c r="H303" s="68"/>
      <x:c r="I303" s="68"/>
      <x:c r="J303" s="68"/>
      <x:c r="K303" s="68"/>
      <x:c r="L303" s="68"/>
      <x:c r="M303" s="68"/>
      <x:c r="N303" s="68"/>
      <x:c r="O303" s="68"/>
      <x:c r="P303" s="68"/>
      <x:c r="Q303" s="68"/>
      <x:c r="R303" s="68"/>
      <x:c r="S303" s="68"/>
      <x:c r="T303" s="68"/>
      <x:c r="U303" s="68"/>
      <x:c r="V303" s="68"/>
      <x:c r="W303" s="68"/>
      <x:c r="X303" s="68"/>
      <x:c r="Y303" s="68"/>
      <x:c r="Z303" s="68"/>
    </x:row>
    <x:row r="304">
      <x:c r="A304" s="68"/>
      <x:c r="B304" s="68"/>
      <x:c r="C304" s="68"/>
      <x:c r="D304" s="68"/>
      <x:c r="E304" s="68"/>
      <x:c r="F304" s="68"/>
      <x:c r="G304" s="68"/>
      <x:c r="H304" s="68"/>
      <x:c r="I304" s="68"/>
      <x:c r="J304" s="68"/>
      <x:c r="K304" s="68"/>
      <x:c r="L304" s="68"/>
      <x:c r="M304" s="68"/>
      <x:c r="N304" s="68"/>
      <x:c r="O304" s="68"/>
      <x:c r="P304" s="68"/>
      <x:c r="Q304" s="68"/>
      <x:c r="R304" s="68"/>
      <x:c r="S304" s="68"/>
      <x:c r="T304" s="68"/>
      <x:c r="U304" s="68"/>
      <x:c r="V304" s="68"/>
      <x:c r="W304" s="68"/>
      <x:c r="X304" s="68"/>
      <x:c r="Y304" s="68"/>
      <x:c r="Z304" s="68"/>
    </x:row>
    <x:row r="305">
      <x:c r="A305" s="68"/>
      <x:c r="B305" s="68"/>
      <x:c r="C305" s="68"/>
      <x:c r="D305" s="68"/>
      <x:c r="E305" s="68"/>
      <x:c r="F305" s="68"/>
      <x:c r="G305" s="68"/>
      <x:c r="H305" s="68"/>
      <x:c r="I305" s="68"/>
      <x:c r="J305" s="68"/>
      <x:c r="K305" s="68"/>
      <x:c r="L305" s="68"/>
      <x:c r="M305" s="68"/>
      <x:c r="N305" s="68"/>
      <x:c r="O305" s="68"/>
      <x:c r="P305" s="68"/>
      <x:c r="Q305" s="68"/>
      <x:c r="R305" s="68"/>
      <x:c r="S305" s="68"/>
      <x:c r="T305" s="68"/>
      <x:c r="U305" s="68"/>
      <x:c r="V305" s="68"/>
      <x:c r="W305" s="68"/>
      <x:c r="X305" s="68"/>
      <x:c r="Y305" s="68"/>
      <x:c r="Z305" s="68"/>
    </x:row>
    <x:row r="306">
      <x:c r="A306" s="68"/>
      <x:c r="B306" s="68"/>
      <x:c r="C306" s="68"/>
      <x:c r="D306" s="68"/>
      <x:c r="E306" s="68"/>
      <x:c r="F306" s="68"/>
      <x:c r="G306" s="68"/>
      <x:c r="H306" s="68"/>
      <x:c r="I306" s="68"/>
      <x:c r="J306" s="68"/>
      <x:c r="K306" s="68"/>
      <x:c r="L306" s="68"/>
      <x:c r="M306" s="68"/>
      <x:c r="N306" s="68"/>
      <x:c r="O306" s="68"/>
      <x:c r="P306" s="68"/>
      <x:c r="Q306" s="68"/>
      <x:c r="R306" s="68"/>
      <x:c r="S306" s="68"/>
      <x:c r="T306" s="68"/>
      <x:c r="U306" s="68"/>
      <x:c r="V306" s="68"/>
      <x:c r="W306" s="68"/>
      <x:c r="X306" s="68"/>
      <x:c r="Y306" s="68"/>
      <x:c r="Z306" s="68"/>
    </x:row>
    <x:row r="307">
      <x:c r="A307" s="68"/>
      <x:c r="B307" s="68"/>
      <x:c r="C307" s="68"/>
      <x:c r="D307" s="68"/>
      <x:c r="E307" s="68"/>
      <x:c r="F307" s="68"/>
      <x:c r="G307" s="68"/>
      <x:c r="H307" s="68"/>
      <x:c r="I307" s="68"/>
      <x:c r="J307" s="68"/>
      <x:c r="K307" s="68"/>
      <x:c r="L307" s="68"/>
      <x:c r="M307" s="68"/>
      <x:c r="N307" s="68"/>
      <x:c r="O307" s="68"/>
      <x:c r="P307" s="68"/>
      <x:c r="Q307" s="68"/>
      <x:c r="R307" s="68"/>
      <x:c r="S307" s="68"/>
      <x:c r="T307" s="68"/>
      <x:c r="U307" s="68"/>
      <x:c r="V307" s="68"/>
      <x:c r="W307" s="68"/>
      <x:c r="X307" s="68"/>
      <x:c r="Y307" s="68"/>
      <x:c r="Z307" s="68"/>
    </x:row>
    <x:row r="308">
      <x:c r="A308" s="68"/>
      <x:c r="B308" s="68"/>
      <x:c r="C308" s="68"/>
      <x:c r="D308" s="68"/>
      <x:c r="E308" s="68"/>
      <x:c r="F308" s="68"/>
      <x:c r="G308" s="68"/>
      <x:c r="H308" s="68"/>
      <x:c r="I308" s="68"/>
      <x:c r="J308" s="68"/>
      <x:c r="K308" s="68"/>
      <x:c r="L308" s="68"/>
      <x:c r="M308" s="68"/>
      <x:c r="N308" s="68"/>
      <x:c r="O308" s="68"/>
      <x:c r="P308" s="68"/>
      <x:c r="Q308" s="68"/>
      <x:c r="R308" s="68"/>
      <x:c r="S308" s="68"/>
      <x:c r="T308" s="68"/>
      <x:c r="U308" s="68"/>
      <x:c r="V308" s="68"/>
      <x:c r="W308" s="68"/>
      <x:c r="X308" s="68"/>
      <x:c r="Y308" s="68"/>
      <x:c r="Z308" s="68"/>
    </x:row>
    <x:row r="309">
      <x:c r="A309" s="68"/>
      <x:c r="B309" s="68"/>
      <x:c r="C309" s="68"/>
      <x:c r="D309" s="68"/>
      <x:c r="E309" s="68"/>
      <x:c r="F309" s="68"/>
      <x:c r="G309" s="68"/>
      <x:c r="H309" s="68"/>
      <x:c r="I309" s="68"/>
      <x:c r="J309" s="68"/>
      <x:c r="K309" s="68"/>
      <x:c r="L309" s="68"/>
      <x:c r="M309" s="68"/>
      <x:c r="N309" s="68"/>
      <x:c r="O309" s="68"/>
      <x:c r="P309" s="68"/>
      <x:c r="Q309" s="68"/>
      <x:c r="R309" s="68"/>
      <x:c r="S309" s="68"/>
      <x:c r="T309" s="68"/>
      <x:c r="U309" s="68"/>
      <x:c r="V309" s="68"/>
      <x:c r="W309" s="68"/>
      <x:c r="X309" s="68"/>
      <x:c r="Y309" s="68"/>
      <x:c r="Z309" s="68"/>
    </x:row>
    <x:row r="310">
      <x:c r="A310" s="68"/>
      <x:c r="B310" s="68"/>
      <x:c r="C310" s="68"/>
      <x:c r="D310" s="68"/>
      <x:c r="E310" s="68"/>
      <x:c r="F310" s="68"/>
      <x:c r="G310" s="68"/>
      <x:c r="H310" s="68"/>
      <x:c r="I310" s="68"/>
      <x:c r="J310" s="68"/>
      <x:c r="K310" s="68"/>
      <x:c r="L310" s="68"/>
      <x:c r="M310" s="68"/>
      <x:c r="N310" s="68"/>
      <x:c r="O310" s="68"/>
      <x:c r="P310" s="68"/>
      <x:c r="Q310" s="68"/>
      <x:c r="R310" s="68"/>
      <x:c r="S310" s="68"/>
      <x:c r="T310" s="68"/>
      <x:c r="U310" s="68"/>
      <x:c r="V310" s="68"/>
      <x:c r="W310" s="68"/>
      <x:c r="X310" s="68"/>
      <x:c r="Y310" s="68"/>
      <x:c r="Z310" s="68"/>
    </x:row>
    <x:row r="311">
      <x:c r="A311" s="68"/>
      <x:c r="B311" s="68"/>
      <x:c r="C311" s="68"/>
      <x:c r="D311" s="68"/>
      <x:c r="E311" s="68"/>
      <x:c r="F311" s="68"/>
      <x:c r="G311" s="68"/>
      <x:c r="H311" s="68"/>
      <x:c r="I311" s="68"/>
      <x:c r="J311" s="68"/>
      <x:c r="K311" s="68"/>
      <x:c r="L311" s="68"/>
      <x:c r="M311" s="68"/>
      <x:c r="N311" s="68"/>
      <x:c r="O311" s="68"/>
      <x:c r="P311" s="68"/>
      <x:c r="Q311" s="68"/>
      <x:c r="R311" s="68"/>
      <x:c r="S311" s="68"/>
      <x:c r="T311" s="68"/>
      <x:c r="U311" s="68"/>
      <x:c r="V311" s="68"/>
      <x:c r="W311" s="68"/>
      <x:c r="X311" s="68"/>
      <x:c r="Y311" s="68"/>
      <x:c r="Z311" s="68"/>
    </x:row>
    <x:row r="312">
      <x:c r="A312" s="68"/>
      <x:c r="B312" s="68"/>
      <x:c r="C312" s="68"/>
      <x:c r="D312" s="68"/>
      <x:c r="E312" s="68"/>
      <x:c r="F312" s="68"/>
      <x:c r="G312" s="68"/>
      <x:c r="H312" s="68"/>
      <x:c r="I312" s="68"/>
      <x:c r="J312" s="68"/>
      <x:c r="K312" s="68"/>
      <x:c r="L312" s="68"/>
      <x:c r="M312" s="68"/>
      <x:c r="N312" s="68"/>
      <x:c r="O312" s="68"/>
      <x:c r="P312" s="68"/>
      <x:c r="Q312" s="68"/>
      <x:c r="R312" s="68"/>
      <x:c r="S312" s="68"/>
      <x:c r="T312" s="68"/>
      <x:c r="U312" s="68"/>
      <x:c r="V312" s="68"/>
      <x:c r="W312" s="68"/>
      <x:c r="X312" s="68"/>
      <x:c r="Y312" s="68"/>
      <x:c r="Z312" s="68"/>
    </x:row>
    <x:row r="313">
      <x:c r="A313" s="68"/>
      <x:c r="B313" s="68"/>
      <x:c r="C313" s="68"/>
      <x:c r="D313" s="68"/>
      <x:c r="E313" s="68"/>
      <x:c r="F313" s="68"/>
      <x:c r="G313" s="68"/>
      <x:c r="H313" s="68"/>
      <x:c r="I313" s="68"/>
      <x:c r="J313" s="68"/>
      <x:c r="K313" s="68"/>
      <x:c r="L313" s="68"/>
      <x:c r="M313" s="68"/>
      <x:c r="N313" s="68"/>
      <x:c r="O313" s="68"/>
      <x:c r="P313" s="68"/>
      <x:c r="Q313" s="68"/>
      <x:c r="R313" s="68"/>
      <x:c r="S313" s="68"/>
      <x:c r="T313" s="68"/>
      <x:c r="U313" s="68"/>
      <x:c r="V313" s="68"/>
      <x:c r="W313" s="68"/>
      <x:c r="X313" s="68"/>
      <x:c r="Y313" s="68"/>
      <x:c r="Z313" s="68"/>
    </x:row>
    <x:row r="314">
      <x:c r="A314" s="68"/>
      <x:c r="B314" s="68"/>
      <x:c r="C314" s="68"/>
      <x:c r="D314" s="68"/>
      <x:c r="E314" s="68"/>
      <x:c r="F314" s="68"/>
      <x:c r="G314" s="68"/>
      <x:c r="H314" s="68"/>
      <x:c r="I314" s="68"/>
      <x:c r="J314" s="68"/>
      <x:c r="K314" s="68"/>
      <x:c r="L314" s="68"/>
      <x:c r="M314" s="68"/>
      <x:c r="N314" s="68"/>
      <x:c r="O314" s="68"/>
      <x:c r="P314" s="68"/>
      <x:c r="Q314" s="68"/>
      <x:c r="R314" s="68"/>
      <x:c r="S314" s="68"/>
      <x:c r="T314" s="68"/>
      <x:c r="U314" s="68"/>
      <x:c r="V314" s="68"/>
      <x:c r="W314" s="68"/>
      <x:c r="X314" s="68"/>
      <x:c r="Y314" s="68"/>
      <x:c r="Z314" s="68"/>
    </x:row>
    <x:row r="315">
      <x:c r="A315" s="68"/>
      <x:c r="B315" s="68"/>
      <x:c r="C315" s="68"/>
      <x:c r="D315" s="68"/>
      <x:c r="E315" s="68"/>
      <x:c r="F315" s="68"/>
      <x:c r="G315" s="68"/>
      <x:c r="H315" s="68"/>
      <x:c r="I315" s="68"/>
      <x:c r="J315" s="68"/>
      <x:c r="K315" s="68"/>
      <x:c r="L315" s="68"/>
      <x:c r="M315" s="68"/>
      <x:c r="N315" s="68"/>
      <x:c r="O315" s="68"/>
      <x:c r="P315" s="68"/>
      <x:c r="Q315" s="68"/>
      <x:c r="R315" s="68"/>
      <x:c r="S315" s="68"/>
      <x:c r="T315" s="68"/>
      <x:c r="U315" s="68"/>
      <x:c r="V315" s="68"/>
      <x:c r="W315" s="68"/>
      <x:c r="X315" s="68"/>
      <x:c r="Y315" s="68"/>
      <x:c r="Z315" s="68"/>
    </x:row>
    <x:row r="316">
      <x:c r="A316" s="68"/>
      <x:c r="B316" s="68"/>
      <x:c r="C316" s="68"/>
      <x:c r="D316" s="68"/>
      <x:c r="E316" s="68"/>
      <x:c r="F316" s="68"/>
      <x:c r="G316" s="68"/>
      <x:c r="H316" s="68"/>
      <x:c r="I316" s="68"/>
      <x:c r="J316" s="68"/>
      <x:c r="K316" s="68"/>
      <x:c r="L316" s="68"/>
      <x:c r="M316" s="68"/>
      <x:c r="N316" s="68"/>
      <x:c r="O316" s="68"/>
      <x:c r="P316" s="68"/>
      <x:c r="Q316" s="68"/>
      <x:c r="R316" s="68"/>
      <x:c r="S316" s="68"/>
      <x:c r="T316" s="68"/>
      <x:c r="U316" s="68"/>
      <x:c r="V316" s="68"/>
      <x:c r="W316" s="68"/>
      <x:c r="X316" s="68"/>
      <x:c r="Y316" s="68"/>
      <x:c r="Z316" s="68"/>
    </x:row>
    <x:row r="317">
      <x:c r="A317" s="68"/>
      <x:c r="B317" s="68"/>
      <x:c r="C317" s="68"/>
      <x:c r="D317" s="68"/>
      <x:c r="E317" s="68"/>
      <x:c r="F317" s="68"/>
      <x:c r="G317" s="68"/>
      <x:c r="H317" s="68"/>
      <x:c r="I317" s="68"/>
      <x:c r="J317" s="68"/>
      <x:c r="K317" s="68"/>
      <x:c r="L317" s="68"/>
      <x:c r="M317" s="68"/>
      <x:c r="N317" s="68"/>
      <x:c r="O317" s="68"/>
      <x:c r="P317" s="68"/>
      <x:c r="Q317" s="68"/>
      <x:c r="R317" s="68"/>
      <x:c r="S317" s="68"/>
      <x:c r="T317" s="68"/>
      <x:c r="U317" s="68"/>
      <x:c r="V317" s="68"/>
      <x:c r="W317" s="68"/>
      <x:c r="X317" s="68"/>
      <x:c r="Y317" s="68"/>
      <x:c r="Z317" s="68"/>
    </x:row>
    <x:row r="318">
      <x:c r="A318" s="68"/>
      <x:c r="B318" s="68"/>
      <x:c r="C318" s="68"/>
      <x:c r="D318" s="68"/>
      <x:c r="E318" s="68"/>
      <x:c r="F318" s="68"/>
      <x:c r="G318" s="68"/>
      <x:c r="H318" s="68"/>
      <x:c r="I318" s="68"/>
      <x:c r="J318" s="68"/>
      <x:c r="K318" s="68"/>
      <x:c r="L318" s="68"/>
      <x:c r="M318" s="68"/>
      <x:c r="N318" s="68"/>
      <x:c r="O318" s="68"/>
      <x:c r="P318" s="68"/>
      <x:c r="Q318" s="68"/>
      <x:c r="R318" s="68"/>
      <x:c r="S318" s="68"/>
      <x:c r="T318" s="68"/>
      <x:c r="U318" s="68"/>
      <x:c r="V318" s="68"/>
      <x:c r="W318" s="68"/>
      <x:c r="X318" s="68"/>
      <x:c r="Y318" s="68"/>
      <x:c r="Z318" s="68"/>
    </x:row>
    <x:row r="319">
      <x:c r="A319" s="68"/>
      <x:c r="B319" s="68"/>
      <x:c r="C319" s="68"/>
      <x:c r="D319" s="68"/>
      <x:c r="E319" s="68"/>
      <x:c r="F319" s="68"/>
      <x:c r="G319" s="68"/>
      <x:c r="H319" s="68"/>
      <x:c r="I319" s="68"/>
      <x:c r="J319" s="68"/>
      <x:c r="K319" s="68"/>
      <x:c r="L319" s="68"/>
      <x:c r="M319" s="68"/>
      <x:c r="N319" s="68"/>
      <x:c r="O319" s="68"/>
      <x:c r="P319" s="68"/>
      <x:c r="Q319" s="68"/>
      <x:c r="R319" s="68"/>
      <x:c r="S319" s="68"/>
      <x:c r="T319" s="68"/>
      <x:c r="U319" s="68"/>
      <x:c r="V319" s="68"/>
      <x:c r="W319" s="68"/>
      <x:c r="X319" s="68"/>
      <x:c r="Y319" s="68"/>
      <x:c r="Z319" s="68"/>
    </x:row>
    <x:row r="320">
      <x:c r="A320" s="68"/>
      <x:c r="B320" s="68"/>
      <x:c r="C320" s="68"/>
      <x:c r="D320" s="68"/>
      <x:c r="E320" s="68"/>
      <x:c r="F320" s="68"/>
      <x:c r="G320" s="68"/>
      <x:c r="H320" s="68"/>
      <x:c r="I320" s="68"/>
      <x:c r="J320" s="68"/>
      <x:c r="K320" s="68"/>
      <x:c r="L320" s="68"/>
      <x:c r="M320" s="68"/>
      <x:c r="N320" s="68"/>
      <x:c r="O320" s="68"/>
      <x:c r="P320" s="68"/>
      <x:c r="Q320" s="68"/>
      <x:c r="R320" s="68"/>
      <x:c r="S320" s="68"/>
      <x:c r="T320" s="68"/>
      <x:c r="U320" s="68"/>
      <x:c r="V320" s="68"/>
      <x:c r="W320" s="68"/>
      <x:c r="X320" s="68"/>
      <x:c r="Y320" s="68"/>
      <x:c r="Z320" s="68"/>
    </x:row>
    <x:row r="321">
      <x:c r="A321" s="68"/>
      <x:c r="B321" s="68"/>
      <x:c r="C321" s="68"/>
      <x:c r="D321" s="68"/>
      <x:c r="E321" s="68"/>
      <x:c r="F321" s="68"/>
      <x:c r="G321" s="68"/>
      <x:c r="H321" s="68"/>
      <x:c r="I321" s="68"/>
      <x:c r="J321" s="68"/>
      <x:c r="K321" s="68"/>
      <x:c r="L321" s="68"/>
      <x:c r="M321" s="68"/>
      <x:c r="N321" s="68"/>
      <x:c r="O321" s="68"/>
      <x:c r="P321" s="68"/>
      <x:c r="Q321" s="68"/>
      <x:c r="R321" s="68"/>
      <x:c r="S321" s="68"/>
      <x:c r="T321" s="68"/>
      <x:c r="U321" s="68"/>
      <x:c r="V321" s="68"/>
      <x:c r="W321" s="68"/>
      <x:c r="X321" s="68"/>
      <x:c r="Y321" s="68"/>
      <x:c r="Z321" s="68"/>
    </x:row>
    <x:row r="322">
      <x:c r="A322" s="68"/>
      <x:c r="B322" s="68"/>
      <x:c r="C322" s="68"/>
      <x:c r="D322" s="68"/>
      <x:c r="E322" s="68"/>
      <x:c r="F322" s="68"/>
      <x:c r="G322" s="68"/>
      <x:c r="H322" s="68"/>
      <x:c r="I322" s="68"/>
      <x:c r="J322" s="68"/>
      <x:c r="K322" s="68"/>
      <x:c r="L322" s="68"/>
      <x:c r="M322" s="68"/>
      <x:c r="N322" s="68"/>
      <x:c r="O322" s="68"/>
      <x:c r="P322" s="68"/>
      <x:c r="Q322" s="68"/>
      <x:c r="R322" s="68"/>
      <x:c r="S322" s="68"/>
      <x:c r="T322" s="68"/>
      <x:c r="U322" s="68"/>
      <x:c r="V322" s="68"/>
      <x:c r="W322" s="68"/>
      <x:c r="X322" s="68"/>
      <x:c r="Y322" s="68"/>
      <x:c r="Z322" s="68"/>
    </x:row>
    <x:row r="323">
      <x:c r="A323" s="68"/>
      <x:c r="B323" s="68"/>
      <x:c r="C323" s="68"/>
      <x:c r="D323" s="68"/>
      <x:c r="E323" s="68"/>
      <x:c r="F323" s="68"/>
      <x:c r="G323" s="68"/>
      <x:c r="H323" s="68"/>
      <x:c r="I323" s="68"/>
      <x:c r="J323" s="68"/>
      <x:c r="K323" s="68"/>
      <x:c r="L323" s="68"/>
      <x:c r="M323" s="68"/>
      <x:c r="N323" s="68"/>
      <x:c r="O323" s="68"/>
      <x:c r="P323" s="68"/>
      <x:c r="Q323" s="68"/>
      <x:c r="R323" s="68"/>
      <x:c r="S323" s="68"/>
      <x:c r="T323" s="68"/>
      <x:c r="U323" s="68"/>
      <x:c r="V323" s="68"/>
      <x:c r="W323" s="68"/>
      <x:c r="X323" s="68"/>
      <x:c r="Y323" s="68"/>
      <x:c r="Z323" s="68"/>
    </x:row>
    <x:row r="324">
      <x:c r="A324" s="68"/>
      <x:c r="B324" s="68"/>
      <x:c r="C324" s="68"/>
      <x:c r="D324" s="68"/>
      <x:c r="E324" s="68"/>
      <x:c r="F324" s="68"/>
      <x:c r="G324" s="68"/>
      <x:c r="H324" s="68"/>
      <x:c r="I324" s="68"/>
      <x:c r="J324" s="68"/>
      <x:c r="K324" s="68"/>
      <x:c r="L324" s="68"/>
      <x:c r="M324" s="68"/>
      <x:c r="N324" s="68"/>
      <x:c r="O324" s="68"/>
      <x:c r="P324" s="68"/>
      <x:c r="Q324" s="68"/>
      <x:c r="R324" s="68"/>
      <x:c r="S324" s="68"/>
      <x:c r="T324" s="68"/>
      <x:c r="U324" s="68"/>
      <x:c r="V324" s="68"/>
      <x:c r="W324" s="68"/>
      <x:c r="X324" s="68"/>
      <x:c r="Y324" s="68"/>
      <x:c r="Z324" s="68"/>
    </x:row>
    <x:row r="325">
      <x:c r="A325" s="68"/>
      <x:c r="B325" s="68"/>
      <x:c r="C325" s="68"/>
      <x:c r="D325" s="68"/>
      <x:c r="E325" s="68"/>
      <x:c r="F325" s="68"/>
      <x:c r="G325" s="68"/>
      <x:c r="H325" s="68"/>
      <x:c r="I325" s="68"/>
      <x:c r="J325" s="68"/>
      <x:c r="K325" s="68"/>
      <x:c r="L325" s="68"/>
      <x:c r="M325" s="68"/>
      <x:c r="N325" s="68"/>
      <x:c r="O325" s="68"/>
      <x:c r="P325" s="68"/>
      <x:c r="Q325" s="68"/>
      <x:c r="R325" s="68"/>
      <x:c r="S325" s="68"/>
      <x:c r="T325" s="68"/>
      <x:c r="U325" s="68"/>
      <x:c r="V325" s="68"/>
      <x:c r="W325" s="68"/>
      <x:c r="X325" s="68"/>
      <x:c r="Y325" s="68"/>
      <x:c r="Z325" s="68"/>
    </x:row>
    <x:row r="326">
      <x:c r="A326" s="68"/>
      <x:c r="B326" s="68"/>
      <x:c r="C326" s="68"/>
      <x:c r="D326" s="68"/>
      <x:c r="E326" s="68"/>
      <x:c r="F326" s="68"/>
      <x:c r="G326" s="68"/>
      <x:c r="H326" s="68"/>
      <x:c r="I326" s="68"/>
      <x:c r="J326" s="68"/>
      <x:c r="K326" s="68"/>
      <x:c r="L326" s="68"/>
      <x:c r="M326" s="68"/>
      <x:c r="N326" s="68"/>
      <x:c r="O326" s="68"/>
      <x:c r="P326" s="68"/>
      <x:c r="Q326" s="68"/>
      <x:c r="R326" s="68"/>
      <x:c r="S326" s="68"/>
      <x:c r="T326" s="68"/>
      <x:c r="U326" s="68"/>
      <x:c r="V326" s="68"/>
      <x:c r="W326" s="68"/>
      <x:c r="X326" s="68"/>
      <x:c r="Y326" s="68"/>
      <x:c r="Z326" s="68"/>
    </x:row>
    <x:row r="327">
      <x:c r="A327" s="68"/>
      <x:c r="B327" s="68"/>
      <x:c r="C327" s="68"/>
      <x:c r="D327" s="68"/>
      <x:c r="E327" s="68"/>
      <x:c r="F327" s="68"/>
      <x:c r="G327" s="68"/>
      <x:c r="H327" s="68"/>
      <x:c r="I327" s="68"/>
      <x:c r="J327" s="68"/>
      <x:c r="K327" s="68"/>
      <x:c r="L327" s="68"/>
      <x:c r="M327" s="68"/>
      <x:c r="N327" s="68"/>
      <x:c r="O327" s="68"/>
      <x:c r="P327" s="68"/>
      <x:c r="Q327" s="68"/>
      <x:c r="R327" s="68"/>
      <x:c r="S327" s="68"/>
      <x:c r="T327" s="68"/>
      <x:c r="U327" s="68"/>
      <x:c r="V327" s="68"/>
      <x:c r="W327" s="68"/>
      <x:c r="X327" s="68"/>
      <x:c r="Y327" s="68"/>
      <x:c r="Z327" s="68"/>
    </x:row>
    <x:row r="328">
      <x:c r="A328" s="68"/>
      <x:c r="B328" s="68"/>
      <x:c r="C328" s="68"/>
      <x:c r="D328" s="68"/>
      <x:c r="E328" s="68"/>
      <x:c r="F328" s="68"/>
      <x:c r="G328" s="68"/>
      <x:c r="H328" s="68"/>
      <x:c r="I328" s="68"/>
      <x:c r="J328" s="68"/>
      <x:c r="K328" s="68"/>
      <x:c r="L328" s="68"/>
      <x:c r="M328" s="68"/>
      <x:c r="N328" s="68"/>
      <x:c r="O328" s="68"/>
      <x:c r="P328" s="68"/>
      <x:c r="Q328" s="68"/>
      <x:c r="R328" s="68"/>
      <x:c r="S328" s="68"/>
      <x:c r="T328" s="68"/>
      <x:c r="U328" s="68"/>
      <x:c r="V328" s="68"/>
      <x:c r="W328" s="68"/>
      <x:c r="X328" s="68"/>
      <x:c r="Y328" s="68"/>
      <x:c r="Z328" s="68"/>
    </x:row>
    <x:row r="329">
      <x:c r="A329" s="68"/>
      <x:c r="B329" s="68"/>
      <x:c r="C329" s="68"/>
      <x:c r="D329" s="68"/>
      <x:c r="E329" s="68"/>
      <x:c r="F329" s="68"/>
      <x:c r="G329" s="68"/>
      <x:c r="H329" s="68"/>
      <x:c r="I329" s="68"/>
      <x:c r="J329" s="68"/>
      <x:c r="K329" s="68"/>
      <x:c r="L329" s="68"/>
      <x:c r="M329" s="68"/>
      <x:c r="N329" s="68"/>
      <x:c r="O329" s="68"/>
      <x:c r="P329" s="68"/>
      <x:c r="Q329" s="68"/>
      <x:c r="R329" s="68"/>
      <x:c r="S329" s="68"/>
      <x:c r="T329" s="68"/>
      <x:c r="U329" s="68"/>
      <x:c r="V329" s="68"/>
      <x:c r="W329" s="68"/>
      <x:c r="X329" s="68"/>
      <x:c r="Y329" s="68"/>
      <x:c r="Z329" s="68"/>
    </x:row>
    <x:row r="330">
      <x:c r="A330" s="68"/>
      <x:c r="B330" s="68"/>
      <x:c r="C330" s="68"/>
      <x:c r="D330" s="68"/>
      <x:c r="E330" s="68"/>
      <x:c r="F330" s="68"/>
      <x:c r="G330" s="68"/>
      <x:c r="H330" s="68"/>
      <x:c r="I330" s="68"/>
      <x:c r="J330" s="68"/>
      <x:c r="K330" s="68"/>
      <x:c r="L330" s="68"/>
      <x:c r="M330" s="68"/>
      <x:c r="N330" s="68"/>
      <x:c r="O330" s="68"/>
      <x:c r="P330" s="68"/>
      <x:c r="Q330" s="68"/>
      <x:c r="R330" s="68"/>
      <x:c r="S330" s="68"/>
      <x:c r="T330" s="68"/>
      <x:c r="U330" s="68"/>
      <x:c r="V330" s="68"/>
      <x:c r="W330" s="68"/>
      <x:c r="X330" s="68"/>
      <x:c r="Y330" s="68"/>
      <x:c r="Z330" s="68"/>
    </x:row>
    <x:row r="331">
      <x:c r="A331" s="68"/>
      <x:c r="B331" s="68"/>
      <x:c r="C331" s="68"/>
      <x:c r="D331" s="68"/>
      <x:c r="E331" s="68"/>
      <x:c r="F331" s="68"/>
      <x:c r="G331" s="68"/>
      <x:c r="H331" s="68"/>
      <x:c r="I331" s="68"/>
      <x:c r="J331" s="68"/>
      <x:c r="K331" s="68"/>
      <x:c r="L331" s="68"/>
      <x:c r="M331" s="68"/>
      <x:c r="N331" s="68"/>
      <x:c r="O331" s="68"/>
      <x:c r="P331" s="68"/>
      <x:c r="Q331" s="68"/>
      <x:c r="R331" s="68"/>
      <x:c r="S331" s="68"/>
      <x:c r="T331" s="68"/>
      <x:c r="U331" s="68"/>
      <x:c r="V331" s="68"/>
      <x:c r="W331" s="68"/>
      <x:c r="X331" s="68"/>
      <x:c r="Y331" s="68"/>
      <x:c r="Z331" s="68"/>
    </x:row>
    <x:row r="332">
      <x:c r="A332" s="68"/>
      <x:c r="B332" s="68"/>
      <x:c r="C332" s="68"/>
      <x:c r="D332" s="68"/>
      <x:c r="E332" s="68"/>
      <x:c r="F332" s="68"/>
      <x:c r="G332" s="68"/>
      <x:c r="H332" s="68"/>
      <x:c r="I332" s="68"/>
      <x:c r="J332" s="68"/>
      <x:c r="K332" s="68"/>
      <x:c r="L332" s="68"/>
      <x:c r="M332" s="68"/>
      <x:c r="N332" s="68"/>
      <x:c r="O332" s="68"/>
      <x:c r="P332" s="68"/>
      <x:c r="Q332" s="68"/>
      <x:c r="R332" s="68"/>
      <x:c r="S332" s="68"/>
      <x:c r="T332" s="68"/>
      <x:c r="U332" s="68"/>
      <x:c r="V332" s="68"/>
      <x:c r="W332" s="68"/>
      <x:c r="X332" s="68"/>
      <x:c r="Y332" s="68"/>
      <x:c r="Z332" s="68"/>
    </x:row>
    <x:row r="333">
      <x:c r="A333" s="68"/>
      <x:c r="B333" s="68"/>
      <x:c r="C333" s="68"/>
      <x:c r="D333" s="68"/>
      <x:c r="E333" s="68"/>
      <x:c r="F333" s="68"/>
      <x:c r="G333" s="68"/>
      <x:c r="H333" s="68"/>
      <x:c r="I333" s="68"/>
      <x:c r="J333" s="68"/>
      <x:c r="K333" s="68"/>
      <x:c r="L333" s="68"/>
      <x:c r="M333" s="68"/>
      <x:c r="N333" s="68"/>
      <x:c r="O333" s="68"/>
      <x:c r="P333" s="68"/>
      <x:c r="Q333" s="68"/>
      <x:c r="R333" s="68"/>
      <x:c r="S333" s="68"/>
      <x:c r="T333" s="68"/>
      <x:c r="U333" s="68"/>
      <x:c r="V333" s="68"/>
      <x:c r="W333" s="68"/>
      <x:c r="X333" s="68"/>
      <x:c r="Y333" s="68"/>
      <x:c r="Z333" s="68"/>
    </x:row>
    <x:row r="334">
      <x:c r="A334" s="68"/>
      <x:c r="B334" s="68"/>
      <x:c r="C334" s="68"/>
      <x:c r="D334" s="68"/>
      <x:c r="E334" s="68"/>
      <x:c r="F334" s="68"/>
      <x:c r="G334" s="68"/>
      <x:c r="H334" s="68"/>
      <x:c r="I334" s="68"/>
      <x:c r="J334" s="68"/>
      <x:c r="K334" s="68"/>
      <x:c r="L334" s="68"/>
      <x:c r="M334" s="68"/>
      <x:c r="N334" s="68"/>
      <x:c r="O334" s="68"/>
      <x:c r="P334" s="68"/>
      <x:c r="Q334" s="68"/>
      <x:c r="R334" s="68"/>
      <x:c r="S334" s="68"/>
      <x:c r="T334" s="68"/>
      <x:c r="U334" s="68"/>
      <x:c r="V334" s="68"/>
      <x:c r="W334" s="68"/>
      <x:c r="X334" s="68"/>
      <x:c r="Y334" s="68"/>
      <x:c r="Z334" s="68"/>
    </x:row>
    <x:row r="335">
      <x:c r="A335" s="68"/>
      <x:c r="B335" s="68"/>
      <x:c r="C335" s="68"/>
      <x:c r="D335" s="68"/>
      <x:c r="E335" s="68"/>
      <x:c r="F335" s="68"/>
      <x:c r="G335" s="68"/>
      <x:c r="H335" s="68"/>
      <x:c r="I335" s="68"/>
      <x:c r="J335" s="68"/>
      <x:c r="K335" s="68"/>
      <x:c r="L335" s="68"/>
      <x:c r="M335" s="68"/>
      <x:c r="N335" s="68"/>
      <x:c r="O335" s="68"/>
      <x:c r="P335" s="68"/>
      <x:c r="Q335" s="68"/>
      <x:c r="R335" s="68"/>
      <x:c r="S335" s="68"/>
      <x:c r="T335" s="68"/>
      <x:c r="U335" s="68"/>
      <x:c r="V335" s="68"/>
      <x:c r="W335" s="68"/>
      <x:c r="X335" s="68"/>
      <x:c r="Y335" s="68"/>
      <x:c r="Z335" s="68"/>
    </x:row>
    <x:row r="336">
      <x:c r="A336" s="68"/>
      <x:c r="B336" s="68"/>
      <x:c r="C336" s="68"/>
      <x:c r="D336" s="68"/>
      <x:c r="E336" s="68"/>
      <x:c r="F336" s="68"/>
      <x:c r="G336" s="68"/>
      <x:c r="H336" s="68"/>
      <x:c r="I336" s="68"/>
      <x:c r="J336" s="68"/>
      <x:c r="K336" s="68"/>
      <x:c r="L336" s="68"/>
      <x:c r="M336" s="68"/>
      <x:c r="N336" s="68"/>
      <x:c r="O336" s="68"/>
      <x:c r="P336" s="68"/>
      <x:c r="Q336" s="68"/>
      <x:c r="R336" s="68"/>
      <x:c r="S336" s="68"/>
      <x:c r="T336" s="68"/>
      <x:c r="U336" s="68"/>
      <x:c r="V336" s="68"/>
      <x:c r="W336" s="68"/>
      <x:c r="X336" s="68"/>
      <x:c r="Y336" s="68"/>
      <x:c r="Z336" s="68"/>
    </x:row>
    <x:row r="337">
      <x:c r="A337" s="68"/>
      <x:c r="B337" s="68"/>
      <x:c r="C337" s="68"/>
      <x:c r="D337" s="68"/>
      <x:c r="E337" s="68"/>
      <x:c r="F337" s="68"/>
      <x:c r="G337" s="68"/>
      <x:c r="H337" s="68"/>
      <x:c r="I337" s="68"/>
      <x:c r="J337" s="68"/>
      <x:c r="K337" s="68"/>
      <x:c r="L337" s="68"/>
      <x:c r="M337" s="68"/>
      <x:c r="N337" s="68"/>
      <x:c r="O337" s="68"/>
      <x:c r="P337" s="68"/>
      <x:c r="Q337" s="68"/>
      <x:c r="R337" s="68"/>
      <x:c r="S337" s="68"/>
      <x:c r="T337" s="68"/>
      <x:c r="U337" s="68"/>
      <x:c r="V337" s="68"/>
      <x:c r="W337" s="68"/>
      <x:c r="X337" s="68"/>
      <x:c r="Y337" s="68"/>
      <x:c r="Z337" s="68"/>
    </x:row>
    <x:row r="338">
      <x:c r="A338" s="68"/>
      <x:c r="B338" s="68"/>
      <x:c r="C338" s="68"/>
      <x:c r="D338" s="68"/>
      <x:c r="E338" s="68"/>
      <x:c r="F338" s="68"/>
      <x:c r="G338" s="68"/>
      <x:c r="H338" s="68"/>
      <x:c r="I338" s="68"/>
      <x:c r="J338" s="68"/>
      <x:c r="K338" s="68"/>
      <x:c r="L338" s="68"/>
      <x:c r="M338" s="68"/>
      <x:c r="N338" s="68"/>
      <x:c r="O338" s="68"/>
      <x:c r="P338" s="68"/>
      <x:c r="Q338" s="68"/>
      <x:c r="R338" s="68"/>
      <x:c r="S338" s="68"/>
      <x:c r="T338" s="68"/>
      <x:c r="U338" s="68"/>
      <x:c r="V338" s="68"/>
      <x:c r="W338" s="68"/>
      <x:c r="X338" s="68"/>
      <x:c r="Y338" s="68"/>
      <x:c r="Z338" s="68"/>
    </x:row>
    <x:row r="339">
      <x:c r="A339" s="68"/>
      <x:c r="B339" s="68"/>
      <x:c r="C339" s="68"/>
      <x:c r="D339" s="68"/>
      <x:c r="E339" s="68"/>
      <x:c r="F339" s="68"/>
      <x:c r="G339" s="68"/>
      <x:c r="H339" s="68"/>
      <x:c r="I339" s="68"/>
      <x:c r="J339" s="68"/>
      <x:c r="K339" s="68"/>
      <x:c r="L339" s="68"/>
      <x:c r="M339" s="68"/>
      <x:c r="N339" s="68"/>
      <x:c r="O339" s="68"/>
      <x:c r="P339" s="68"/>
      <x:c r="Q339" s="68"/>
      <x:c r="R339" s="68"/>
      <x:c r="S339" s="68"/>
      <x:c r="T339" s="68"/>
      <x:c r="U339" s="68"/>
      <x:c r="V339" s="68"/>
      <x:c r="W339" s="68"/>
      <x:c r="X339" s="68"/>
      <x:c r="Y339" s="68"/>
      <x:c r="Z339" s="68"/>
    </x:row>
    <x:row r="340">
      <x:c r="A340" s="68"/>
      <x:c r="B340" s="68"/>
      <x:c r="C340" s="68"/>
      <x:c r="D340" s="68"/>
      <x:c r="E340" s="68"/>
      <x:c r="F340" s="68"/>
      <x:c r="G340" s="68"/>
      <x:c r="H340" s="68"/>
      <x:c r="I340" s="68"/>
      <x:c r="J340" s="68"/>
      <x:c r="K340" s="68"/>
      <x:c r="L340" s="68"/>
      <x:c r="M340" s="68"/>
      <x:c r="N340" s="68"/>
      <x:c r="O340" s="68"/>
      <x:c r="P340" s="68"/>
      <x:c r="Q340" s="68"/>
      <x:c r="R340" s="68"/>
      <x:c r="S340" s="68"/>
      <x:c r="T340" s="68"/>
      <x:c r="U340" s="68"/>
      <x:c r="V340" s="68"/>
      <x:c r="W340" s="68"/>
      <x:c r="X340" s="68"/>
      <x:c r="Y340" s="68"/>
      <x:c r="Z340" s="68"/>
    </x:row>
    <x:row r="341">
      <x:c r="A341" s="68"/>
      <x:c r="B341" s="68"/>
      <x:c r="C341" s="68"/>
      <x:c r="D341" s="68"/>
      <x:c r="E341" s="68"/>
      <x:c r="F341" s="68"/>
      <x:c r="G341" s="68"/>
      <x:c r="H341" s="68"/>
      <x:c r="I341" s="68"/>
      <x:c r="J341" s="68"/>
      <x:c r="K341" s="68"/>
      <x:c r="L341" s="68"/>
      <x:c r="M341" s="68"/>
      <x:c r="N341" s="68"/>
      <x:c r="O341" s="68"/>
      <x:c r="P341" s="68"/>
      <x:c r="Q341" s="68"/>
      <x:c r="R341" s="68"/>
      <x:c r="S341" s="68"/>
      <x:c r="T341" s="68"/>
      <x:c r="U341" s="68"/>
      <x:c r="V341" s="68"/>
      <x:c r="W341" s="68"/>
      <x:c r="X341" s="68"/>
      <x:c r="Y341" s="68"/>
      <x:c r="Z341" s="68"/>
    </x:row>
    <x:row r="342">
      <x:c r="A342" s="68"/>
      <x:c r="B342" s="68"/>
      <x:c r="C342" s="68"/>
      <x:c r="D342" s="68"/>
      <x:c r="E342" s="68"/>
      <x:c r="F342" s="68"/>
      <x:c r="G342" s="68"/>
      <x:c r="H342" s="68"/>
      <x:c r="I342" s="68"/>
      <x:c r="J342" s="68"/>
      <x:c r="K342" s="68"/>
      <x:c r="L342" s="68"/>
      <x:c r="M342" s="68"/>
      <x:c r="N342" s="68"/>
      <x:c r="O342" s="68"/>
      <x:c r="P342" s="68"/>
      <x:c r="Q342" s="68"/>
      <x:c r="R342" s="68"/>
      <x:c r="S342" s="68"/>
      <x:c r="T342" s="68"/>
      <x:c r="U342" s="68"/>
      <x:c r="V342" s="68"/>
      <x:c r="W342" s="68"/>
      <x:c r="X342" s="68"/>
      <x:c r="Y342" s="68"/>
      <x:c r="Z342" s="68"/>
    </x:row>
    <x:row r="343">
      <x:c r="A343" s="68"/>
      <x:c r="B343" s="68"/>
      <x:c r="C343" s="68"/>
      <x:c r="D343" s="68"/>
      <x:c r="E343" s="68"/>
      <x:c r="F343" s="68"/>
      <x:c r="G343" s="68"/>
      <x:c r="H343" s="68"/>
      <x:c r="I343" s="68"/>
      <x:c r="J343" s="68"/>
      <x:c r="K343" s="68"/>
      <x:c r="L343" s="68"/>
      <x:c r="M343" s="68"/>
      <x:c r="N343" s="68"/>
      <x:c r="O343" s="68"/>
      <x:c r="P343" s="68"/>
      <x:c r="Q343" s="68"/>
      <x:c r="R343" s="68"/>
      <x:c r="S343" s="68"/>
      <x:c r="T343" s="68"/>
      <x:c r="U343" s="68"/>
      <x:c r="V343" s="68"/>
      <x:c r="W343" s="68"/>
      <x:c r="X343" s="68"/>
      <x:c r="Y343" s="68"/>
      <x:c r="Z343" s="68"/>
    </x:row>
    <x:row r="344">
      <x:c r="A344" s="68"/>
      <x:c r="B344" s="68"/>
      <x:c r="C344" s="68"/>
      <x:c r="D344" s="68"/>
      <x:c r="E344" s="68"/>
      <x:c r="F344" s="68"/>
      <x:c r="G344" s="68"/>
      <x:c r="H344" s="68"/>
      <x:c r="I344" s="68"/>
      <x:c r="J344" s="68"/>
      <x:c r="K344" s="68"/>
      <x:c r="L344" s="68"/>
      <x:c r="M344" s="68"/>
      <x:c r="N344" s="68"/>
      <x:c r="O344" s="68"/>
      <x:c r="P344" s="68"/>
      <x:c r="Q344" s="68"/>
      <x:c r="R344" s="68"/>
      <x:c r="S344" s="68"/>
      <x:c r="T344" s="68"/>
      <x:c r="U344" s="68"/>
      <x:c r="V344" s="68"/>
      <x:c r="W344" s="68"/>
      <x:c r="X344" s="68"/>
      <x:c r="Y344" s="68"/>
      <x:c r="Z344" s="68"/>
    </x:row>
    <x:row r="345">
      <x:c r="A345" s="68"/>
      <x:c r="B345" s="68"/>
      <x:c r="C345" s="68"/>
      <x:c r="D345" s="68"/>
      <x:c r="E345" s="68"/>
      <x:c r="F345" s="68"/>
      <x:c r="G345" s="68"/>
      <x:c r="H345" s="68"/>
      <x:c r="I345" s="68"/>
      <x:c r="J345" s="68"/>
      <x:c r="K345" s="68"/>
      <x:c r="L345" s="68"/>
      <x:c r="M345" s="68"/>
      <x:c r="N345" s="68"/>
      <x:c r="O345" s="68"/>
      <x:c r="P345" s="68"/>
      <x:c r="Q345" s="68"/>
      <x:c r="R345" s="68"/>
      <x:c r="S345" s="68"/>
      <x:c r="T345" s="68"/>
      <x:c r="U345" s="68"/>
      <x:c r="V345" s="68"/>
      <x:c r="W345" s="68"/>
      <x:c r="X345" s="68"/>
      <x:c r="Y345" s="68"/>
      <x:c r="Z345" s="68"/>
    </x:row>
    <x:row r="346">
      <x:c r="A346" s="68"/>
      <x:c r="B346" s="68"/>
      <x:c r="C346" s="68"/>
      <x:c r="D346" s="68"/>
      <x:c r="E346" s="68"/>
      <x:c r="F346" s="68"/>
      <x:c r="G346" s="68"/>
      <x:c r="H346" s="68"/>
      <x:c r="I346" s="68"/>
      <x:c r="J346" s="68"/>
      <x:c r="K346" s="68"/>
      <x:c r="L346" s="68"/>
      <x:c r="M346" s="68"/>
      <x:c r="N346" s="68"/>
      <x:c r="O346" s="68"/>
      <x:c r="P346" s="68"/>
      <x:c r="Q346" s="68"/>
      <x:c r="R346" s="68"/>
      <x:c r="S346" s="68"/>
      <x:c r="T346" s="68"/>
      <x:c r="U346" s="68"/>
      <x:c r="V346" s="68"/>
      <x:c r="W346" s="68"/>
      <x:c r="X346" s="68"/>
      <x:c r="Y346" s="68"/>
      <x:c r="Z346" s="68"/>
    </x:row>
    <x:row r="347">
      <x:c r="A347" s="68"/>
      <x:c r="B347" s="68"/>
      <x:c r="C347" s="68"/>
      <x:c r="D347" s="68"/>
      <x:c r="E347" s="68"/>
      <x:c r="F347" s="68"/>
      <x:c r="G347" s="68"/>
      <x:c r="H347" s="68"/>
      <x:c r="I347" s="68"/>
      <x:c r="J347" s="68"/>
      <x:c r="K347" s="68"/>
      <x:c r="L347" s="68"/>
      <x:c r="M347" s="68"/>
      <x:c r="N347" s="68"/>
      <x:c r="O347" s="68"/>
      <x:c r="P347" s="68"/>
      <x:c r="Q347" s="68"/>
      <x:c r="R347" s="68"/>
      <x:c r="S347" s="68"/>
      <x:c r="T347" s="68"/>
      <x:c r="U347" s="68"/>
      <x:c r="V347" s="68"/>
      <x:c r="W347" s="68"/>
      <x:c r="X347" s="68"/>
      <x:c r="Y347" s="68"/>
      <x:c r="Z347" s="68"/>
    </x:row>
    <x:row r="348">
      <x:c r="A348" s="68"/>
      <x:c r="B348" s="68"/>
      <x:c r="C348" s="68"/>
      <x:c r="D348" s="68"/>
      <x:c r="E348" s="68"/>
      <x:c r="F348" s="68"/>
      <x:c r="G348" s="68"/>
      <x:c r="H348" s="68"/>
      <x:c r="I348" s="68"/>
      <x:c r="J348" s="68"/>
      <x:c r="K348" s="68"/>
      <x:c r="L348" s="68"/>
      <x:c r="M348" s="68"/>
      <x:c r="N348" s="68"/>
      <x:c r="O348" s="68"/>
      <x:c r="P348" s="68"/>
      <x:c r="Q348" s="68"/>
      <x:c r="R348" s="68"/>
      <x:c r="S348" s="68"/>
      <x:c r="T348" s="68"/>
      <x:c r="U348" s="68"/>
      <x:c r="V348" s="68"/>
      <x:c r="W348" s="68"/>
      <x:c r="X348" s="68"/>
      <x:c r="Y348" s="68"/>
      <x:c r="Z348" s="68"/>
    </x:row>
    <x:row r="349">
      <x:c r="A349" s="68"/>
      <x:c r="B349" s="68"/>
      <x:c r="C349" s="68"/>
      <x:c r="D349" s="68"/>
      <x:c r="E349" s="68"/>
      <x:c r="F349" s="68"/>
      <x:c r="G349" s="68"/>
      <x:c r="H349" s="68"/>
      <x:c r="I349" s="68"/>
      <x:c r="J349" s="68"/>
      <x:c r="K349" s="68"/>
      <x:c r="L349" s="68"/>
      <x:c r="M349" s="68"/>
      <x:c r="N349" s="68"/>
      <x:c r="O349" s="68"/>
      <x:c r="P349" s="68"/>
      <x:c r="Q349" s="68"/>
      <x:c r="R349" s="68"/>
      <x:c r="S349" s="68"/>
      <x:c r="T349" s="68"/>
      <x:c r="U349" s="68"/>
      <x:c r="V349" s="68"/>
      <x:c r="W349" s="68"/>
      <x:c r="X349" s="68"/>
      <x:c r="Y349" s="68"/>
      <x:c r="Z349" s="68"/>
    </x:row>
    <x:row r="350">
      <x:c r="A350" s="68"/>
      <x:c r="B350" s="68"/>
      <x:c r="C350" s="68"/>
      <x:c r="D350" s="68"/>
      <x:c r="E350" s="68"/>
      <x:c r="F350" s="68"/>
      <x:c r="G350" s="68"/>
      <x:c r="H350" s="68"/>
      <x:c r="I350" s="68"/>
      <x:c r="J350" s="68"/>
      <x:c r="K350" s="68"/>
      <x:c r="L350" s="68"/>
      <x:c r="M350" s="68"/>
      <x:c r="N350" s="68"/>
      <x:c r="O350" s="68"/>
      <x:c r="P350" s="68"/>
      <x:c r="Q350" s="68"/>
      <x:c r="R350" s="68"/>
      <x:c r="S350" s="68"/>
      <x:c r="T350" s="68"/>
      <x:c r="U350" s="68"/>
      <x:c r="V350" s="68"/>
      <x:c r="W350" s="68"/>
      <x:c r="X350" s="68"/>
      <x:c r="Y350" s="68"/>
      <x:c r="Z350" s="68"/>
    </x:row>
    <x:row r="351">
      <x:c r="A351" s="68"/>
      <x:c r="B351" s="68"/>
      <x:c r="C351" s="68"/>
      <x:c r="D351" s="68"/>
      <x:c r="E351" s="68"/>
      <x:c r="F351" s="68"/>
      <x:c r="G351" s="68"/>
      <x:c r="H351" s="68"/>
      <x:c r="I351" s="68"/>
      <x:c r="J351" s="68"/>
      <x:c r="K351" s="68"/>
      <x:c r="L351" s="68"/>
      <x:c r="M351" s="68"/>
      <x:c r="N351" s="68"/>
      <x:c r="O351" s="68"/>
      <x:c r="P351" s="68"/>
      <x:c r="Q351" s="68"/>
      <x:c r="R351" s="68"/>
      <x:c r="S351" s="68"/>
      <x:c r="T351" s="68"/>
      <x:c r="U351" s="68"/>
      <x:c r="V351" s="68"/>
      <x:c r="W351" s="68"/>
      <x:c r="X351" s="68"/>
      <x:c r="Y351" s="68"/>
      <x:c r="Z351" s="68"/>
    </x:row>
    <x:row r="352">
      <x:c r="A352" s="68"/>
      <x:c r="B352" s="68"/>
      <x:c r="C352" s="68"/>
      <x:c r="D352" s="68"/>
      <x:c r="E352" s="68"/>
      <x:c r="F352" s="68"/>
      <x:c r="G352" s="68"/>
      <x:c r="H352" s="68"/>
      <x:c r="I352" s="68"/>
      <x:c r="J352" s="68"/>
      <x:c r="K352" s="68"/>
      <x:c r="L352" s="68"/>
      <x:c r="M352" s="68"/>
      <x:c r="N352" s="68"/>
      <x:c r="O352" s="68"/>
      <x:c r="P352" s="68"/>
      <x:c r="Q352" s="68"/>
      <x:c r="R352" s="68"/>
      <x:c r="S352" s="68"/>
      <x:c r="T352" s="68"/>
      <x:c r="U352" s="68"/>
      <x:c r="V352" s="68"/>
      <x:c r="W352" s="68"/>
      <x:c r="X352" s="68"/>
      <x:c r="Y352" s="68"/>
      <x:c r="Z352" s="68"/>
    </x:row>
    <x:row r="353">
      <x:c r="A353" s="68"/>
      <x:c r="B353" s="68"/>
      <x:c r="C353" s="68"/>
      <x:c r="D353" s="68"/>
      <x:c r="E353" s="68"/>
      <x:c r="F353" s="68"/>
      <x:c r="G353" s="68"/>
      <x:c r="H353" s="68"/>
      <x:c r="I353" s="68"/>
      <x:c r="J353" s="68"/>
      <x:c r="K353" s="68"/>
      <x:c r="L353" s="68"/>
      <x:c r="M353" s="68"/>
      <x:c r="N353" s="68"/>
      <x:c r="O353" s="68"/>
      <x:c r="P353" s="68"/>
      <x:c r="Q353" s="68"/>
      <x:c r="R353" s="68"/>
      <x:c r="S353" s="68"/>
      <x:c r="T353" s="68"/>
      <x:c r="U353" s="68"/>
      <x:c r="V353" s="68"/>
      <x:c r="W353" s="68"/>
      <x:c r="X353" s="68"/>
      <x:c r="Y353" s="68"/>
      <x:c r="Z353" s="68"/>
    </x:row>
    <x:row r="354">
      <x:c r="A354" s="68"/>
      <x:c r="B354" s="68"/>
      <x:c r="C354" s="68"/>
      <x:c r="D354" s="68"/>
      <x:c r="E354" s="68"/>
      <x:c r="F354" s="68"/>
      <x:c r="G354" s="68"/>
      <x:c r="H354" s="68"/>
      <x:c r="I354" s="68"/>
      <x:c r="J354" s="68"/>
      <x:c r="K354" s="68"/>
      <x:c r="L354" s="68"/>
      <x:c r="M354" s="68"/>
      <x:c r="N354" s="68"/>
      <x:c r="O354" s="68"/>
      <x:c r="P354" s="68"/>
      <x:c r="Q354" s="68"/>
      <x:c r="R354" s="68"/>
      <x:c r="S354" s="68"/>
      <x:c r="T354" s="68"/>
      <x:c r="U354" s="68"/>
      <x:c r="V354" s="68"/>
      <x:c r="W354" s="68"/>
      <x:c r="X354" s="68"/>
      <x:c r="Y354" s="68"/>
      <x:c r="Z354" s="68"/>
    </x:row>
    <x:row r="355">
      <x:c r="A355" s="68"/>
      <x:c r="B355" s="68"/>
      <x:c r="C355" s="68"/>
      <x:c r="D355" s="68"/>
      <x:c r="E355" s="68"/>
      <x:c r="F355" s="68"/>
      <x:c r="G355" s="68"/>
      <x:c r="H355" s="68"/>
      <x:c r="I355" s="68"/>
      <x:c r="J355" s="68"/>
      <x:c r="K355" s="68"/>
      <x:c r="L355" s="68"/>
      <x:c r="M355" s="68"/>
      <x:c r="N355" s="68"/>
      <x:c r="O355" s="68"/>
      <x:c r="P355" s="68"/>
      <x:c r="Q355" s="68"/>
      <x:c r="R355" s="68"/>
      <x:c r="S355" s="68"/>
      <x:c r="T355" s="68"/>
      <x:c r="U355" s="68"/>
      <x:c r="V355" s="68"/>
      <x:c r="W355" s="68"/>
      <x:c r="X355" s="68"/>
      <x:c r="Y355" s="68"/>
      <x:c r="Z355" s="68"/>
    </x:row>
    <x:row r="356">
      <x:c r="A356" s="68"/>
      <x:c r="B356" s="68"/>
      <x:c r="C356" s="68"/>
      <x:c r="D356" s="68"/>
      <x:c r="E356" s="68"/>
      <x:c r="F356" s="68"/>
      <x:c r="G356" s="68"/>
      <x:c r="H356" s="68"/>
      <x:c r="I356" s="68"/>
      <x:c r="J356" s="68"/>
      <x:c r="K356" s="68"/>
      <x:c r="L356" s="68"/>
      <x:c r="M356" s="68"/>
      <x:c r="N356" s="68"/>
      <x:c r="O356" s="68"/>
      <x:c r="P356" s="68"/>
      <x:c r="Q356" s="68"/>
      <x:c r="R356" s="68"/>
      <x:c r="S356" s="68"/>
      <x:c r="T356" s="68"/>
      <x:c r="U356" s="68"/>
      <x:c r="V356" s="68"/>
      <x:c r="W356" s="68"/>
      <x:c r="X356" s="68"/>
      <x:c r="Y356" s="68"/>
      <x:c r="Z356" s="68"/>
    </x:row>
    <x:row r="357">
      <x:c r="A357" s="68"/>
      <x:c r="B357" s="68"/>
      <x:c r="C357" s="68"/>
      <x:c r="D357" s="68"/>
      <x:c r="E357" s="68"/>
      <x:c r="F357" s="68"/>
      <x:c r="G357" s="68"/>
      <x:c r="H357" s="68"/>
      <x:c r="I357" s="68"/>
      <x:c r="J357" s="68"/>
      <x:c r="K357" s="68"/>
      <x:c r="L357" s="68"/>
      <x:c r="M357" s="68"/>
      <x:c r="N357" s="68"/>
      <x:c r="O357" s="68"/>
      <x:c r="P357" s="68"/>
      <x:c r="Q357" s="68"/>
      <x:c r="R357" s="68"/>
      <x:c r="S357" s="68"/>
      <x:c r="T357" s="68"/>
      <x:c r="U357" s="68"/>
      <x:c r="V357" s="68"/>
      <x:c r="W357" s="68"/>
      <x:c r="X357" s="68"/>
      <x:c r="Y357" s="68"/>
      <x:c r="Z357" s="68"/>
    </x:row>
    <x:row r="358">
      <x:c r="A358" s="68"/>
      <x:c r="B358" s="68"/>
      <x:c r="C358" s="68"/>
      <x:c r="D358" s="68"/>
      <x:c r="E358" s="68"/>
      <x:c r="F358" s="68"/>
      <x:c r="G358" s="68"/>
      <x:c r="H358" s="68"/>
      <x:c r="I358" s="68"/>
      <x:c r="J358" s="68"/>
      <x:c r="K358" s="68"/>
      <x:c r="L358" s="68"/>
      <x:c r="M358" s="68"/>
      <x:c r="N358" s="68"/>
      <x:c r="O358" s="68"/>
      <x:c r="P358" s="68"/>
      <x:c r="Q358" s="68"/>
      <x:c r="R358" s="68"/>
      <x:c r="S358" s="68"/>
      <x:c r="T358" s="68"/>
      <x:c r="U358" s="68"/>
      <x:c r="V358" s="68"/>
      <x:c r="W358" s="68"/>
      <x:c r="X358" s="68"/>
      <x:c r="Y358" s="68"/>
      <x:c r="Z358" s="68"/>
    </x:row>
    <x:row r="359">
      <x:c r="A359" s="68"/>
      <x:c r="B359" s="68"/>
      <x:c r="C359" s="68"/>
      <x:c r="D359" s="68"/>
      <x:c r="E359" s="68"/>
      <x:c r="F359" s="68"/>
      <x:c r="G359" s="68"/>
      <x:c r="H359" s="68"/>
      <x:c r="I359" s="68"/>
      <x:c r="J359" s="68"/>
      <x:c r="K359" s="68"/>
      <x:c r="L359" s="68"/>
      <x:c r="M359" s="68"/>
      <x:c r="N359" s="68"/>
      <x:c r="O359" s="68"/>
      <x:c r="P359" s="68"/>
      <x:c r="Q359" s="68"/>
      <x:c r="R359" s="68"/>
      <x:c r="S359" s="68"/>
      <x:c r="T359" s="68"/>
      <x:c r="U359" s="68"/>
      <x:c r="V359" s="68"/>
      <x:c r="W359" s="68"/>
      <x:c r="X359" s="68"/>
      <x:c r="Y359" s="68"/>
      <x:c r="Z359" s="68"/>
    </x:row>
    <x:row r="360">
      <x:c r="A360" s="68"/>
      <x:c r="B360" s="68"/>
      <x:c r="C360" s="68"/>
      <x:c r="D360" s="68"/>
      <x:c r="E360" s="68"/>
      <x:c r="F360" s="68"/>
      <x:c r="G360" s="68"/>
      <x:c r="H360" s="68"/>
      <x:c r="I360" s="68"/>
      <x:c r="J360" s="68"/>
      <x:c r="K360" s="68"/>
      <x:c r="L360" s="68"/>
      <x:c r="M360" s="68"/>
      <x:c r="N360" s="68"/>
      <x:c r="O360" s="68"/>
      <x:c r="P360" s="68"/>
      <x:c r="Q360" s="68"/>
      <x:c r="R360" s="68"/>
      <x:c r="S360" s="68"/>
      <x:c r="T360" s="68"/>
      <x:c r="U360" s="68"/>
      <x:c r="V360" s="68"/>
      <x:c r="W360" s="68"/>
      <x:c r="X360" s="68"/>
      <x:c r="Y360" s="68"/>
      <x:c r="Z360" s="68"/>
    </x:row>
    <x:row r="361">
      <x:c r="A361" s="68"/>
      <x:c r="B361" s="68"/>
      <x:c r="C361" s="68"/>
      <x:c r="D361" s="68"/>
      <x:c r="E361" s="68"/>
      <x:c r="F361" s="68"/>
      <x:c r="G361" s="68"/>
      <x:c r="H361" s="68"/>
      <x:c r="I361" s="68"/>
      <x:c r="J361" s="68"/>
      <x:c r="K361" s="68"/>
      <x:c r="L361" s="68"/>
      <x:c r="M361" s="68"/>
      <x:c r="N361" s="68"/>
      <x:c r="O361" s="68"/>
      <x:c r="P361" s="68"/>
      <x:c r="Q361" s="68"/>
      <x:c r="R361" s="68"/>
      <x:c r="S361" s="68"/>
      <x:c r="T361" s="68"/>
      <x:c r="U361" s="68"/>
      <x:c r="V361" s="68"/>
      <x:c r="W361" s="68"/>
      <x:c r="X361" s="68"/>
      <x:c r="Y361" s="68"/>
      <x:c r="Z361" s="68"/>
    </x:row>
    <x:row r="362">
      <x:c r="A362" s="68"/>
      <x:c r="B362" s="68"/>
      <x:c r="C362" s="68"/>
      <x:c r="D362" s="68"/>
      <x:c r="E362" s="68"/>
      <x:c r="F362" s="68"/>
      <x:c r="G362" s="68"/>
      <x:c r="H362" s="68"/>
      <x:c r="I362" s="68"/>
      <x:c r="J362" s="68"/>
      <x:c r="K362" s="68"/>
      <x:c r="L362" s="68"/>
      <x:c r="M362" s="68"/>
      <x:c r="N362" s="68"/>
      <x:c r="O362" s="68"/>
      <x:c r="P362" s="68"/>
      <x:c r="Q362" s="68"/>
      <x:c r="R362" s="68"/>
      <x:c r="S362" s="68"/>
      <x:c r="T362" s="68"/>
      <x:c r="U362" s="68"/>
      <x:c r="V362" s="68"/>
      <x:c r="W362" s="68"/>
      <x:c r="X362" s="68"/>
      <x:c r="Y362" s="68"/>
      <x:c r="Z362" s="68"/>
    </x:row>
    <x:row r="363">
      <x:c r="A363" s="68"/>
      <x:c r="B363" s="68"/>
      <x:c r="C363" s="68"/>
      <x:c r="D363" s="68"/>
      <x:c r="E363" s="68"/>
      <x:c r="F363" s="68"/>
      <x:c r="G363" s="68"/>
      <x:c r="H363" s="68"/>
      <x:c r="I363" s="68"/>
      <x:c r="J363" s="68"/>
      <x:c r="K363" s="68"/>
      <x:c r="L363" s="68"/>
      <x:c r="M363" s="68"/>
      <x:c r="N363" s="68"/>
      <x:c r="O363" s="68"/>
      <x:c r="P363" s="68"/>
      <x:c r="Q363" s="68"/>
      <x:c r="R363" s="68"/>
      <x:c r="S363" s="68"/>
      <x:c r="T363" s="68"/>
      <x:c r="U363" s="68"/>
      <x:c r="V363" s="68"/>
      <x:c r="W363" s="68"/>
      <x:c r="X363" s="68"/>
      <x:c r="Y363" s="68"/>
      <x:c r="Z363" s="68"/>
    </x:row>
    <x:row r="364">
      <x:c r="A364" s="68"/>
      <x:c r="B364" s="68"/>
      <x:c r="C364" s="68"/>
      <x:c r="D364" s="68"/>
      <x:c r="E364" s="68"/>
      <x:c r="F364" s="68"/>
      <x:c r="G364" s="68"/>
      <x:c r="H364" s="68"/>
      <x:c r="I364" s="68"/>
      <x:c r="J364" s="68"/>
      <x:c r="K364" s="68"/>
      <x:c r="L364" s="68"/>
      <x:c r="M364" s="68"/>
      <x:c r="N364" s="68"/>
      <x:c r="O364" s="68"/>
      <x:c r="P364" s="68"/>
      <x:c r="Q364" s="68"/>
      <x:c r="R364" s="68"/>
      <x:c r="S364" s="68"/>
      <x:c r="T364" s="68"/>
      <x:c r="U364" s="68"/>
      <x:c r="V364" s="68"/>
      <x:c r="W364" s="68"/>
      <x:c r="X364" s="68"/>
      <x:c r="Y364" s="68"/>
      <x:c r="Z364" s="68"/>
    </x:row>
    <x:row r="365">
      <x:c r="A365" s="68"/>
      <x:c r="B365" s="68"/>
      <x:c r="C365" s="68"/>
      <x:c r="D365" s="68"/>
      <x:c r="E365" s="68"/>
      <x:c r="F365" s="68"/>
      <x:c r="G365" s="68"/>
      <x:c r="H365" s="68"/>
      <x:c r="I365" s="68"/>
      <x:c r="J365" s="68"/>
      <x:c r="K365" s="68"/>
      <x:c r="L365" s="68"/>
      <x:c r="M365" s="68"/>
      <x:c r="N365" s="68"/>
      <x:c r="O365" s="68"/>
      <x:c r="P365" s="68"/>
      <x:c r="Q365" s="68"/>
      <x:c r="R365" s="68"/>
      <x:c r="S365" s="68"/>
      <x:c r="T365" s="68"/>
      <x:c r="U365" s="68"/>
      <x:c r="V365" s="68"/>
      <x:c r="W365" s="68"/>
      <x:c r="X365" s="68"/>
      <x:c r="Y365" s="68"/>
      <x:c r="Z365" s="68"/>
    </x:row>
    <x:row r="366">
      <x:c r="A366" s="68"/>
      <x:c r="B366" s="68"/>
      <x:c r="C366" s="68"/>
      <x:c r="D366" s="68"/>
      <x:c r="E366" s="68"/>
      <x:c r="F366" s="68"/>
      <x:c r="G366" s="68"/>
      <x:c r="H366" s="68"/>
      <x:c r="I366" s="68"/>
      <x:c r="J366" s="68"/>
      <x:c r="K366" s="68"/>
      <x:c r="L366" s="68"/>
      <x:c r="M366" s="68"/>
      <x:c r="N366" s="68"/>
      <x:c r="O366" s="68"/>
      <x:c r="P366" s="68"/>
      <x:c r="Q366" s="68"/>
      <x:c r="R366" s="68"/>
      <x:c r="S366" s="68"/>
      <x:c r="T366" s="68"/>
      <x:c r="U366" s="68"/>
      <x:c r="V366" s="68"/>
      <x:c r="W366" s="68"/>
      <x:c r="X366" s="68"/>
      <x:c r="Y366" s="68"/>
      <x:c r="Z366" s="68"/>
    </x:row>
    <x:row r="367">
      <x:c r="A367" s="68"/>
      <x:c r="B367" s="68"/>
      <x:c r="C367" s="68"/>
      <x:c r="D367" s="68"/>
      <x:c r="E367" s="68"/>
      <x:c r="F367" s="68"/>
      <x:c r="G367" s="68"/>
      <x:c r="H367" s="68"/>
      <x:c r="I367" s="68"/>
      <x:c r="J367" s="68"/>
      <x:c r="K367" s="68"/>
      <x:c r="L367" s="68"/>
      <x:c r="M367" s="68"/>
      <x:c r="N367" s="68"/>
      <x:c r="O367" s="68"/>
      <x:c r="P367" s="68"/>
      <x:c r="Q367" s="68"/>
      <x:c r="R367" s="68"/>
      <x:c r="S367" s="68"/>
      <x:c r="T367" s="68"/>
      <x:c r="U367" s="68"/>
      <x:c r="V367" s="68"/>
      <x:c r="W367" s="68"/>
      <x:c r="X367" s="68"/>
      <x:c r="Y367" s="68"/>
      <x:c r="Z367" s="68"/>
    </x:row>
    <x:row r="368">
      <x:c r="A368" s="68"/>
      <x:c r="B368" s="68"/>
      <x:c r="C368" s="68"/>
      <x:c r="D368" s="68"/>
      <x:c r="E368" s="68"/>
      <x:c r="F368" s="68"/>
      <x:c r="G368" s="68"/>
      <x:c r="H368" s="68"/>
      <x:c r="I368" s="68"/>
      <x:c r="J368" s="68"/>
      <x:c r="K368" s="68"/>
      <x:c r="L368" s="68"/>
      <x:c r="M368" s="68"/>
      <x:c r="N368" s="68"/>
      <x:c r="O368" s="68"/>
      <x:c r="P368" s="68"/>
      <x:c r="Q368" s="68"/>
      <x:c r="R368" s="68"/>
      <x:c r="S368" s="68"/>
      <x:c r="T368" s="68"/>
      <x:c r="U368" s="68"/>
      <x:c r="V368" s="68"/>
      <x:c r="W368" s="68"/>
      <x:c r="X368" s="68"/>
      <x:c r="Y368" s="68"/>
      <x:c r="Z368" s="68"/>
    </x:row>
    <x:row r="369">
      <x:c r="A369" s="68"/>
      <x:c r="B369" s="68"/>
      <x:c r="C369" s="68"/>
      <x:c r="D369" s="68"/>
      <x:c r="E369" s="68"/>
      <x:c r="F369" s="68"/>
      <x:c r="G369" s="68"/>
      <x:c r="H369" s="68"/>
      <x:c r="I369" s="68"/>
      <x:c r="J369" s="68"/>
      <x:c r="K369" s="68"/>
      <x:c r="L369" s="68"/>
      <x:c r="M369" s="68"/>
      <x:c r="N369" s="68"/>
      <x:c r="O369" s="68"/>
      <x:c r="P369" s="68"/>
      <x:c r="Q369" s="68"/>
      <x:c r="R369" s="68"/>
      <x:c r="S369" s="68"/>
      <x:c r="T369" s="68"/>
      <x:c r="U369" s="68"/>
      <x:c r="V369" s="68"/>
      <x:c r="W369" s="68"/>
      <x:c r="X369" s="68"/>
      <x:c r="Y369" s="68"/>
      <x:c r="Z369" s="68"/>
    </x:row>
    <x:row r="370">
      <x:c r="A370" s="68"/>
      <x:c r="B370" s="68"/>
      <x:c r="C370" s="68"/>
      <x:c r="D370" s="68"/>
      <x:c r="E370" s="68"/>
      <x:c r="F370" s="68"/>
      <x:c r="G370" s="68"/>
      <x:c r="H370" s="68"/>
      <x:c r="I370" s="68"/>
      <x:c r="J370" s="68"/>
      <x:c r="K370" s="68"/>
      <x:c r="L370" s="68"/>
      <x:c r="M370" s="68"/>
      <x:c r="N370" s="68"/>
      <x:c r="O370" s="68"/>
      <x:c r="P370" s="68"/>
      <x:c r="Q370" s="68"/>
      <x:c r="R370" s="68"/>
      <x:c r="S370" s="68"/>
      <x:c r="T370" s="68"/>
      <x:c r="U370" s="68"/>
      <x:c r="V370" s="68"/>
      <x:c r="W370" s="68"/>
      <x:c r="X370" s="68"/>
      <x:c r="Y370" s="68"/>
      <x:c r="Z370" s="68"/>
    </x:row>
    <x:row r="371">
      <x:c r="A371" s="68"/>
      <x:c r="B371" s="68"/>
      <x:c r="C371" s="68"/>
      <x:c r="D371" s="68"/>
      <x:c r="E371" s="68"/>
      <x:c r="F371" s="68"/>
      <x:c r="G371" s="68"/>
      <x:c r="H371" s="68"/>
      <x:c r="I371" s="68"/>
      <x:c r="J371" s="68"/>
      <x:c r="K371" s="68"/>
      <x:c r="L371" s="68"/>
      <x:c r="M371" s="68"/>
      <x:c r="N371" s="68"/>
      <x:c r="O371" s="68"/>
      <x:c r="P371" s="68"/>
      <x:c r="Q371" s="68"/>
      <x:c r="R371" s="68"/>
      <x:c r="S371" s="68"/>
      <x:c r="T371" s="68"/>
      <x:c r="U371" s="68"/>
      <x:c r="V371" s="68"/>
      <x:c r="W371" s="68"/>
      <x:c r="X371" s="68"/>
      <x:c r="Y371" s="68"/>
      <x:c r="Z371" s="68"/>
    </x:row>
    <x:row r="372">
      <x:c r="A372" s="68"/>
      <x:c r="B372" s="68"/>
      <x:c r="C372" s="68"/>
      <x:c r="D372" s="68"/>
      <x:c r="E372" s="68"/>
      <x:c r="F372" s="68"/>
      <x:c r="G372" s="68"/>
      <x:c r="H372" s="68"/>
      <x:c r="I372" s="68"/>
      <x:c r="J372" s="68"/>
      <x:c r="K372" s="68"/>
      <x:c r="L372" s="68"/>
      <x:c r="M372" s="68"/>
      <x:c r="N372" s="68"/>
      <x:c r="O372" s="68"/>
      <x:c r="P372" s="68"/>
      <x:c r="Q372" s="68"/>
      <x:c r="R372" s="68"/>
      <x:c r="S372" s="68"/>
      <x:c r="T372" s="68"/>
      <x:c r="U372" s="68"/>
      <x:c r="V372" s="68"/>
      <x:c r="W372" s="68"/>
      <x:c r="X372" s="68"/>
      <x:c r="Y372" s="68"/>
      <x:c r="Z372" s="68"/>
    </x:row>
    <x:row r="373">
      <x:c r="A373" s="68"/>
      <x:c r="B373" s="68"/>
      <x:c r="C373" s="68"/>
      <x:c r="D373" s="68"/>
      <x:c r="E373" s="68"/>
      <x:c r="F373" s="68"/>
      <x:c r="G373" s="68"/>
      <x:c r="H373" s="68"/>
      <x:c r="I373" s="68"/>
      <x:c r="J373" s="68"/>
      <x:c r="K373" s="68"/>
      <x:c r="L373" s="68"/>
      <x:c r="M373" s="68"/>
      <x:c r="N373" s="68"/>
      <x:c r="O373" s="68"/>
      <x:c r="P373" s="68"/>
      <x:c r="Q373" s="68"/>
      <x:c r="R373" s="68"/>
      <x:c r="S373" s="68"/>
      <x:c r="T373" s="68"/>
      <x:c r="U373" s="68"/>
      <x:c r="V373" s="68"/>
      <x:c r="W373" s="68"/>
      <x:c r="X373" s="68"/>
      <x:c r="Y373" s="68"/>
      <x:c r="Z373" s="68"/>
    </x:row>
    <x:row r="374">
      <x:c r="A374" s="68"/>
      <x:c r="B374" s="68"/>
      <x:c r="C374" s="68"/>
      <x:c r="D374" s="68"/>
      <x:c r="E374" s="68"/>
      <x:c r="F374" s="68"/>
      <x:c r="G374" s="68"/>
      <x:c r="H374" s="68"/>
      <x:c r="I374" s="68"/>
      <x:c r="J374" s="68"/>
      <x:c r="K374" s="68"/>
      <x:c r="L374" s="68"/>
      <x:c r="M374" s="68"/>
      <x:c r="N374" s="68"/>
      <x:c r="O374" s="68"/>
      <x:c r="P374" s="68"/>
      <x:c r="Q374" s="68"/>
      <x:c r="R374" s="68"/>
      <x:c r="S374" s="68"/>
      <x:c r="T374" s="68"/>
      <x:c r="U374" s="68"/>
      <x:c r="V374" s="68"/>
      <x:c r="W374" s="68"/>
      <x:c r="X374" s="68"/>
      <x:c r="Y374" s="68"/>
      <x:c r="Z374" s="68"/>
    </x:row>
    <x:row r="375">
      <x:c r="A375" s="68"/>
      <x:c r="B375" s="68"/>
      <x:c r="C375" s="68"/>
      <x:c r="D375" s="68"/>
      <x:c r="E375" s="68"/>
      <x:c r="F375" s="68"/>
      <x:c r="G375" s="68"/>
      <x:c r="H375" s="68"/>
      <x:c r="I375" s="68"/>
      <x:c r="J375" s="68"/>
      <x:c r="K375" s="68"/>
      <x:c r="L375" s="68"/>
      <x:c r="M375" s="68"/>
      <x:c r="N375" s="68"/>
      <x:c r="O375" s="68"/>
      <x:c r="P375" s="68"/>
      <x:c r="Q375" s="68"/>
      <x:c r="R375" s="68"/>
      <x:c r="S375" s="68"/>
      <x:c r="T375" s="68"/>
      <x:c r="U375" s="68"/>
      <x:c r="V375" s="68"/>
      <x:c r="W375" s="68"/>
      <x:c r="X375" s="68"/>
      <x:c r="Y375" s="68"/>
      <x:c r="Z375" s="68"/>
    </x:row>
    <x:row r="376">
      <x:c r="A376" s="68"/>
      <x:c r="B376" s="68"/>
      <x:c r="C376" s="68"/>
      <x:c r="D376" s="68"/>
      <x:c r="E376" s="68"/>
      <x:c r="F376" s="68"/>
      <x:c r="G376" s="68"/>
      <x:c r="H376" s="68"/>
      <x:c r="I376" s="68"/>
      <x:c r="J376" s="68"/>
      <x:c r="K376" s="68"/>
      <x:c r="L376" s="68"/>
      <x:c r="M376" s="68"/>
      <x:c r="N376" s="68"/>
      <x:c r="O376" s="68"/>
      <x:c r="P376" s="68"/>
      <x:c r="Q376" s="68"/>
      <x:c r="R376" s="68"/>
      <x:c r="S376" s="68"/>
      <x:c r="T376" s="68"/>
      <x:c r="U376" s="68"/>
      <x:c r="V376" s="68"/>
      <x:c r="W376" s="68"/>
      <x:c r="X376" s="68"/>
      <x:c r="Y376" s="68"/>
      <x:c r="Z376" s="68"/>
    </x:row>
    <x:row r="377">
      <x:c r="A377" s="68"/>
      <x:c r="B377" s="68"/>
      <x:c r="C377" s="68"/>
      <x:c r="D377" s="68"/>
      <x:c r="E377" s="68"/>
      <x:c r="F377" s="68"/>
      <x:c r="G377" s="68"/>
      <x:c r="H377" s="68"/>
      <x:c r="I377" s="68"/>
      <x:c r="J377" s="68"/>
      <x:c r="K377" s="68"/>
      <x:c r="L377" s="68"/>
      <x:c r="M377" s="68"/>
      <x:c r="N377" s="68"/>
      <x:c r="O377" s="68"/>
      <x:c r="P377" s="68"/>
      <x:c r="Q377" s="68"/>
      <x:c r="R377" s="68"/>
      <x:c r="S377" s="68"/>
      <x:c r="T377" s="68"/>
      <x:c r="U377" s="68"/>
      <x:c r="V377" s="68"/>
      <x:c r="W377" s="68"/>
      <x:c r="X377" s="68"/>
      <x:c r="Y377" s="68"/>
      <x:c r="Z377" s="68"/>
    </x:row>
    <x:row r="378">
      <x:c r="A378" s="68"/>
      <x:c r="B378" s="68"/>
      <x:c r="C378" s="68"/>
      <x:c r="D378" s="68"/>
      <x:c r="E378" s="68"/>
      <x:c r="F378" s="68"/>
      <x:c r="G378" s="68"/>
      <x:c r="H378" s="68"/>
      <x:c r="I378" s="68"/>
      <x:c r="J378" s="68"/>
      <x:c r="K378" s="68"/>
      <x:c r="L378" s="68"/>
      <x:c r="M378" s="68"/>
      <x:c r="N378" s="68"/>
      <x:c r="O378" s="68"/>
      <x:c r="P378" s="68"/>
      <x:c r="Q378" s="68"/>
      <x:c r="R378" s="68"/>
      <x:c r="S378" s="68"/>
      <x:c r="T378" s="68"/>
      <x:c r="U378" s="68"/>
      <x:c r="V378" s="68"/>
      <x:c r="W378" s="68"/>
      <x:c r="X378" s="68"/>
      <x:c r="Y378" s="68"/>
      <x:c r="Z378" s="68"/>
    </x:row>
    <x:row r="379">
      <x:c r="A379" s="68"/>
      <x:c r="B379" s="68"/>
      <x:c r="C379" s="68"/>
      <x:c r="D379" s="68"/>
      <x:c r="E379" s="68"/>
      <x:c r="F379" s="68"/>
      <x:c r="G379" s="68"/>
      <x:c r="H379" s="68"/>
      <x:c r="I379" s="68"/>
      <x:c r="J379" s="68"/>
      <x:c r="K379" s="68"/>
      <x:c r="L379" s="68"/>
      <x:c r="M379" s="68"/>
      <x:c r="N379" s="68"/>
      <x:c r="O379" s="68"/>
      <x:c r="P379" s="68"/>
      <x:c r="Q379" s="68"/>
      <x:c r="R379" s="68"/>
      <x:c r="S379" s="68"/>
      <x:c r="T379" s="68"/>
      <x:c r="U379" s="68"/>
      <x:c r="V379" s="68"/>
      <x:c r="W379" s="68"/>
      <x:c r="X379" s="68"/>
      <x:c r="Y379" s="68"/>
      <x:c r="Z379" s="68"/>
    </x:row>
    <x:row r="380">
      <x:c r="A380" s="68"/>
      <x:c r="B380" s="68"/>
      <x:c r="C380" s="68"/>
      <x:c r="D380" s="68"/>
      <x:c r="E380" s="68"/>
      <x:c r="F380" s="68"/>
      <x:c r="G380" s="68"/>
      <x:c r="H380" s="68"/>
      <x:c r="I380" s="68"/>
      <x:c r="J380" s="68"/>
      <x:c r="K380" s="68"/>
      <x:c r="L380" s="68"/>
      <x:c r="M380" s="68"/>
      <x:c r="N380" s="68"/>
      <x:c r="O380" s="68"/>
      <x:c r="P380" s="68"/>
      <x:c r="Q380" s="68"/>
      <x:c r="R380" s="68"/>
      <x:c r="S380" s="68"/>
      <x:c r="T380" s="68"/>
      <x:c r="U380" s="68"/>
      <x:c r="V380" s="68"/>
      <x:c r="W380" s="68"/>
      <x:c r="X380" s="68"/>
      <x:c r="Y380" s="68"/>
      <x:c r="Z380" s="68"/>
    </x:row>
    <x:row r="381">
      <x:c r="A381" s="68"/>
      <x:c r="B381" s="68"/>
      <x:c r="C381" s="68"/>
      <x:c r="D381" s="68"/>
      <x:c r="E381" s="68"/>
      <x:c r="F381" s="68"/>
      <x:c r="G381" s="68"/>
      <x:c r="H381" s="68"/>
      <x:c r="I381" s="68"/>
      <x:c r="J381" s="68"/>
      <x:c r="K381" s="68"/>
      <x:c r="L381" s="68"/>
      <x:c r="M381" s="68"/>
      <x:c r="N381" s="68"/>
      <x:c r="O381" s="68"/>
      <x:c r="P381" s="68"/>
      <x:c r="Q381" s="68"/>
      <x:c r="R381" s="68"/>
      <x:c r="S381" s="68"/>
      <x:c r="T381" s="68"/>
      <x:c r="U381" s="68"/>
      <x:c r="V381" s="68"/>
      <x:c r="W381" s="68"/>
      <x:c r="X381" s="68"/>
      <x:c r="Y381" s="68"/>
      <x:c r="Z381" s="68"/>
    </x:row>
    <x:row r="382">
      <x:c r="A382" s="68"/>
      <x:c r="B382" s="68"/>
      <x:c r="C382" s="68"/>
      <x:c r="D382" s="68"/>
      <x:c r="E382" s="68"/>
      <x:c r="F382" s="68"/>
      <x:c r="G382" s="68"/>
      <x:c r="H382" s="68"/>
      <x:c r="I382" s="68"/>
      <x:c r="J382" s="68"/>
      <x:c r="K382" s="68"/>
      <x:c r="L382" s="68"/>
      <x:c r="M382" s="68"/>
      <x:c r="N382" s="68"/>
      <x:c r="O382" s="68"/>
      <x:c r="P382" s="68"/>
      <x:c r="Q382" s="68"/>
      <x:c r="R382" s="68"/>
      <x:c r="S382" s="68"/>
      <x:c r="T382" s="68"/>
      <x:c r="U382" s="68"/>
      <x:c r="V382" s="68"/>
      <x:c r="W382" s="68"/>
      <x:c r="X382" s="68"/>
      <x:c r="Y382" s="68"/>
      <x:c r="Z382" s="68"/>
    </x:row>
    <x:row r="383">
      <x:c r="A383" s="68"/>
      <x:c r="B383" s="68"/>
      <x:c r="C383" s="68"/>
      <x:c r="D383" s="68"/>
      <x:c r="E383" s="68"/>
      <x:c r="F383" s="68"/>
      <x:c r="G383" s="68"/>
      <x:c r="H383" s="68"/>
      <x:c r="I383" s="68"/>
      <x:c r="J383" s="68"/>
      <x:c r="K383" s="68"/>
      <x:c r="L383" s="68"/>
      <x:c r="M383" s="68"/>
      <x:c r="N383" s="68"/>
      <x:c r="O383" s="68"/>
      <x:c r="P383" s="68"/>
      <x:c r="Q383" s="68"/>
      <x:c r="R383" s="68"/>
      <x:c r="S383" s="68"/>
      <x:c r="T383" s="68"/>
      <x:c r="U383" s="68"/>
      <x:c r="V383" s="68"/>
      <x:c r="W383" s="68"/>
      <x:c r="X383" s="68"/>
      <x:c r="Y383" s="68"/>
      <x:c r="Z383" s="68"/>
    </x:row>
    <x:row r="384">
      <x:c r="A384" s="68"/>
      <x:c r="B384" s="68"/>
      <x:c r="C384" s="68"/>
      <x:c r="D384" s="68"/>
      <x:c r="E384" s="68"/>
      <x:c r="F384" s="68"/>
      <x:c r="G384" s="68"/>
      <x:c r="H384" s="68"/>
      <x:c r="I384" s="68"/>
      <x:c r="J384" s="68"/>
      <x:c r="K384" s="68"/>
      <x:c r="L384" s="68"/>
      <x:c r="M384" s="68"/>
      <x:c r="N384" s="68"/>
      <x:c r="O384" s="68"/>
      <x:c r="P384" s="68"/>
      <x:c r="Q384" s="68"/>
      <x:c r="R384" s="68"/>
      <x:c r="S384" s="68"/>
      <x:c r="T384" s="68"/>
      <x:c r="U384" s="68"/>
      <x:c r="V384" s="68"/>
      <x:c r="W384" s="68"/>
      <x:c r="X384" s="68"/>
      <x:c r="Y384" s="68"/>
      <x:c r="Z384" s="68"/>
    </x:row>
    <x:row r="385">
      <x:c r="A385" s="68"/>
      <x:c r="B385" s="68"/>
      <x:c r="C385" s="68"/>
      <x:c r="D385" s="68"/>
      <x:c r="E385" s="68"/>
      <x:c r="F385" s="68"/>
      <x:c r="G385" s="68"/>
      <x:c r="H385" s="68"/>
      <x:c r="I385" s="68"/>
      <x:c r="J385" s="68"/>
      <x:c r="K385" s="68"/>
      <x:c r="L385" s="68"/>
      <x:c r="M385" s="68"/>
      <x:c r="N385" s="68"/>
      <x:c r="O385" s="68"/>
      <x:c r="P385" s="68"/>
      <x:c r="Q385" s="68"/>
      <x:c r="R385" s="68"/>
      <x:c r="S385" s="68"/>
      <x:c r="T385" s="68"/>
      <x:c r="U385" s="68"/>
      <x:c r="V385" s="68"/>
      <x:c r="W385" s="68"/>
      <x:c r="X385" s="68"/>
      <x:c r="Y385" s="68"/>
      <x:c r="Z385" s="68"/>
    </x:row>
    <x:row r="386">
      <x:c r="A386" s="68"/>
      <x:c r="B386" s="68"/>
      <x:c r="C386" s="68"/>
      <x:c r="D386" s="68"/>
      <x:c r="E386" s="68"/>
      <x:c r="F386" s="68"/>
      <x:c r="G386" s="68"/>
      <x:c r="H386" s="68"/>
      <x:c r="I386" s="68"/>
      <x:c r="J386" s="68"/>
      <x:c r="K386" s="68"/>
      <x:c r="L386" s="68"/>
      <x:c r="M386" s="68"/>
      <x:c r="N386" s="68"/>
      <x:c r="O386" s="68"/>
      <x:c r="P386" s="68"/>
      <x:c r="Q386" s="68"/>
      <x:c r="R386" s="68"/>
      <x:c r="S386" s="68"/>
      <x:c r="T386" s="68"/>
      <x:c r="U386" s="68"/>
      <x:c r="V386" s="68"/>
      <x:c r="W386" s="68"/>
      <x:c r="X386" s="68"/>
      <x:c r="Y386" s="68"/>
      <x:c r="Z386" s="68"/>
    </x:row>
    <x:row r="387">
      <x:c r="A387" s="68"/>
      <x:c r="B387" s="68"/>
      <x:c r="C387" s="68"/>
      <x:c r="D387" s="68"/>
      <x:c r="E387" s="68"/>
      <x:c r="F387" s="68"/>
      <x:c r="G387" s="68"/>
      <x:c r="H387" s="68"/>
      <x:c r="I387" s="68"/>
      <x:c r="J387" s="68"/>
      <x:c r="K387" s="68"/>
      <x:c r="L387" s="68"/>
      <x:c r="M387" s="68"/>
      <x:c r="N387" s="68"/>
      <x:c r="O387" s="68"/>
      <x:c r="P387" s="68"/>
      <x:c r="Q387" s="68"/>
      <x:c r="R387" s="68"/>
      <x:c r="S387" s="68"/>
      <x:c r="T387" s="68"/>
      <x:c r="U387" s="68"/>
      <x:c r="V387" s="68"/>
      <x:c r="W387" s="68"/>
      <x:c r="X387" s="68"/>
      <x:c r="Y387" s="68"/>
      <x:c r="Z387" s="68"/>
    </x:row>
    <x:row r="388">
      <x:c r="A388" s="68"/>
      <x:c r="B388" s="68"/>
      <x:c r="C388" s="68"/>
      <x:c r="D388" s="68"/>
      <x:c r="E388" s="68"/>
      <x:c r="F388" s="68"/>
      <x:c r="G388" s="68"/>
      <x:c r="H388" s="68"/>
      <x:c r="I388" s="68"/>
      <x:c r="J388" s="68"/>
      <x:c r="K388" s="68"/>
      <x:c r="L388" s="68"/>
      <x:c r="M388" s="68"/>
      <x:c r="N388" s="68"/>
      <x:c r="O388" s="68"/>
      <x:c r="P388" s="68"/>
      <x:c r="Q388" s="68"/>
      <x:c r="R388" s="68"/>
      <x:c r="S388" s="68"/>
      <x:c r="T388" s="68"/>
      <x:c r="U388" s="68"/>
      <x:c r="V388" s="68"/>
      <x:c r="W388" s="68"/>
      <x:c r="X388" s="68"/>
      <x:c r="Y388" s="68"/>
      <x:c r="Z388" s="68"/>
    </x:row>
    <x:row r="389">
      <x:c r="A389" s="68"/>
      <x:c r="B389" s="68"/>
      <x:c r="C389" s="68"/>
      <x:c r="D389" s="68"/>
      <x:c r="E389" s="68"/>
      <x:c r="F389" s="68"/>
      <x:c r="G389" s="68"/>
      <x:c r="H389" s="68"/>
      <x:c r="I389" s="68"/>
      <x:c r="J389" s="68"/>
      <x:c r="K389" s="68"/>
      <x:c r="L389" s="68"/>
      <x:c r="M389" s="68"/>
      <x:c r="N389" s="68"/>
      <x:c r="O389" s="68"/>
      <x:c r="P389" s="68"/>
      <x:c r="Q389" s="68"/>
      <x:c r="R389" s="68"/>
      <x:c r="S389" s="68"/>
      <x:c r="T389" s="68"/>
      <x:c r="U389" s="68"/>
      <x:c r="V389" s="68"/>
      <x:c r="W389" s="68"/>
      <x:c r="X389" s="68"/>
      <x:c r="Y389" s="68"/>
      <x:c r="Z389" s="68"/>
    </x:row>
    <x:row r="390">
      <x:c r="A390" s="68"/>
      <x:c r="B390" s="68"/>
      <x:c r="C390" s="68"/>
      <x:c r="D390" s="68"/>
      <x:c r="E390" s="68"/>
      <x:c r="F390" s="68"/>
      <x:c r="G390" s="68"/>
      <x:c r="H390" s="68"/>
      <x:c r="I390" s="68"/>
      <x:c r="J390" s="68"/>
      <x:c r="K390" s="68"/>
      <x:c r="L390" s="68"/>
      <x:c r="M390" s="68"/>
      <x:c r="N390" s="68"/>
      <x:c r="O390" s="68"/>
      <x:c r="P390" s="68"/>
      <x:c r="Q390" s="68"/>
      <x:c r="R390" s="68"/>
      <x:c r="S390" s="68"/>
      <x:c r="T390" s="68"/>
      <x:c r="U390" s="68"/>
      <x:c r="V390" s="68"/>
      <x:c r="W390" s="68"/>
      <x:c r="X390" s="68"/>
      <x:c r="Y390" s="68"/>
      <x:c r="Z390" s="68"/>
    </x:row>
    <x:row r="391">
      <x:c r="A391" s="68"/>
      <x:c r="B391" s="68"/>
      <x:c r="C391" s="68"/>
      <x:c r="D391" s="68"/>
      <x:c r="E391" s="68"/>
      <x:c r="F391" s="68"/>
      <x:c r="G391" s="68"/>
      <x:c r="H391" s="68"/>
      <x:c r="I391" s="68"/>
      <x:c r="J391" s="68"/>
      <x:c r="K391" s="68"/>
      <x:c r="L391" s="68"/>
      <x:c r="M391" s="68"/>
      <x:c r="N391" s="68"/>
      <x:c r="O391" s="68"/>
      <x:c r="P391" s="68"/>
      <x:c r="Q391" s="68"/>
      <x:c r="R391" s="68"/>
      <x:c r="S391" s="68"/>
      <x:c r="T391" s="68"/>
      <x:c r="U391" s="68"/>
      <x:c r="V391" s="68"/>
      <x:c r="W391" s="68"/>
      <x:c r="X391" s="68"/>
      <x:c r="Y391" s="68"/>
      <x:c r="Z391" s="68"/>
    </x:row>
    <x:row r="392">
      <x:c r="A392" s="68"/>
      <x:c r="B392" s="68"/>
      <x:c r="C392" s="68"/>
      <x:c r="D392" s="68"/>
      <x:c r="E392" s="68"/>
      <x:c r="F392" s="68"/>
      <x:c r="G392" s="68"/>
      <x:c r="H392" s="68"/>
      <x:c r="I392" s="68"/>
      <x:c r="J392" s="68"/>
      <x:c r="K392" s="68"/>
      <x:c r="L392" s="68"/>
      <x:c r="M392" s="68"/>
      <x:c r="N392" s="68"/>
      <x:c r="O392" s="68"/>
      <x:c r="P392" s="68"/>
      <x:c r="Q392" s="68"/>
      <x:c r="R392" s="68"/>
      <x:c r="S392" s="68"/>
      <x:c r="T392" s="68"/>
      <x:c r="U392" s="68"/>
      <x:c r="V392" s="68"/>
      <x:c r="W392" s="68"/>
      <x:c r="X392" s="68"/>
      <x:c r="Y392" s="68"/>
      <x:c r="Z392" s="68"/>
    </x:row>
    <x:row r="393">
      <x:c r="A393" s="68"/>
      <x:c r="B393" s="68"/>
      <x:c r="C393" s="68"/>
      <x:c r="D393" s="68"/>
      <x:c r="E393" s="68"/>
      <x:c r="F393" s="68"/>
      <x:c r="G393" s="68"/>
      <x:c r="H393" s="68"/>
      <x:c r="I393" s="68"/>
      <x:c r="J393" s="68"/>
      <x:c r="K393" s="68"/>
      <x:c r="L393" s="68"/>
      <x:c r="M393" s="68"/>
      <x:c r="N393" s="68"/>
      <x:c r="O393" s="68"/>
      <x:c r="P393" s="68"/>
      <x:c r="Q393" s="68"/>
      <x:c r="R393" s="68"/>
      <x:c r="S393" s="68"/>
      <x:c r="T393" s="68"/>
      <x:c r="U393" s="68"/>
      <x:c r="V393" s="68"/>
      <x:c r="W393" s="68"/>
      <x:c r="X393" s="68"/>
      <x:c r="Y393" s="68"/>
      <x:c r="Z393" s="68"/>
    </x:row>
    <x:row r="394">
      <x:c r="A394" s="68"/>
      <x:c r="B394" s="68"/>
      <x:c r="C394" s="68"/>
      <x:c r="D394" s="68"/>
      <x:c r="E394" s="68"/>
      <x:c r="F394" s="68"/>
      <x:c r="G394" s="68"/>
      <x:c r="H394" s="68"/>
      <x:c r="I394" s="68"/>
      <x:c r="J394" s="68"/>
      <x:c r="K394" s="68"/>
      <x:c r="L394" s="68"/>
      <x:c r="M394" s="68"/>
      <x:c r="N394" s="68"/>
      <x:c r="O394" s="68"/>
      <x:c r="P394" s="68"/>
      <x:c r="Q394" s="68"/>
      <x:c r="R394" s="68"/>
      <x:c r="S394" s="68"/>
      <x:c r="T394" s="68"/>
      <x:c r="U394" s="68"/>
      <x:c r="V394" s="68"/>
      <x:c r="W394" s="68"/>
      <x:c r="X394" s="68"/>
      <x:c r="Y394" s="68"/>
      <x:c r="Z394" s="68"/>
    </x:row>
    <x:row r="395">
      <x:c r="A395" s="68"/>
      <x:c r="B395" s="68"/>
      <x:c r="C395" s="68"/>
      <x:c r="D395" s="68"/>
      <x:c r="E395" s="68"/>
      <x:c r="F395" s="68"/>
      <x:c r="G395" s="68"/>
      <x:c r="H395" s="68"/>
      <x:c r="I395" s="68"/>
      <x:c r="J395" s="68"/>
      <x:c r="K395" s="68"/>
      <x:c r="L395" s="68"/>
      <x:c r="M395" s="68"/>
      <x:c r="N395" s="68"/>
      <x:c r="O395" s="68"/>
      <x:c r="P395" s="68"/>
      <x:c r="Q395" s="68"/>
      <x:c r="R395" s="68"/>
      <x:c r="S395" s="68"/>
      <x:c r="T395" s="68"/>
      <x:c r="U395" s="68"/>
      <x:c r="V395" s="68"/>
      <x:c r="W395" s="68"/>
      <x:c r="X395" s="68"/>
      <x:c r="Y395" s="68"/>
      <x:c r="Z395" s="68"/>
    </x:row>
    <x:row r="396">
      <x:c r="A396" s="68"/>
      <x:c r="B396" s="68"/>
      <x:c r="C396" s="68"/>
      <x:c r="D396" s="68"/>
      <x:c r="E396" s="68"/>
      <x:c r="F396" s="68"/>
      <x:c r="G396" s="68"/>
      <x:c r="H396" s="68"/>
      <x:c r="I396" s="68"/>
      <x:c r="J396" s="68"/>
      <x:c r="K396" s="68"/>
      <x:c r="L396" s="68"/>
      <x:c r="M396" s="68"/>
      <x:c r="N396" s="68"/>
      <x:c r="O396" s="68"/>
      <x:c r="P396" s="68"/>
      <x:c r="Q396" s="68"/>
      <x:c r="R396" s="68"/>
      <x:c r="S396" s="68"/>
      <x:c r="T396" s="68"/>
      <x:c r="U396" s="68"/>
      <x:c r="V396" s="68"/>
      <x:c r="W396" s="68"/>
      <x:c r="X396" s="68"/>
      <x:c r="Y396" s="68"/>
      <x:c r="Z396" s="68"/>
    </x:row>
    <x:row r="397">
      <x:c r="A397" s="68"/>
      <x:c r="B397" s="68"/>
      <x:c r="C397" s="68"/>
      <x:c r="D397" s="68"/>
      <x:c r="E397" s="68"/>
      <x:c r="F397" s="68"/>
      <x:c r="G397" s="68"/>
      <x:c r="H397" s="68"/>
      <x:c r="I397" s="68"/>
      <x:c r="J397" s="68"/>
      <x:c r="K397" s="68"/>
      <x:c r="L397" s="68"/>
      <x:c r="M397" s="68"/>
      <x:c r="N397" s="68"/>
      <x:c r="O397" s="68"/>
      <x:c r="P397" s="68"/>
      <x:c r="Q397" s="68"/>
      <x:c r="R397" s="68"/>
      <x:c r="S397" s="68"/>
      <x:c r="T397" s="68"/>
      <x:c r="U397" s="68"/>
      <x:c r="V397" s="68"/>
      <x:c r="W397" s="68"/>
      <x:c r="X397" s="68"/>
      <x:c r="Y397" s="68"/>
      <x:c r="Z397" s="68"/>
    </x:row>
    <x:row r="398">
      <x:c r="A398" s="68"/>
      <x:c r="B398" s="68"/>
      <x:c r="C398" s="68"/>
      <x:c r="D398" s="68"/>
      <x:c r="E398" s="68"/>
      <x:c r="F398" s="68"/>
      <x:c r="G398" s="68"/>
      <x:c r="H398" s="68"/>
      <x:c r="I398" s="68"/>
      <x:c r="J398" s="68"/>
      <x:c r="K398" s="68"/>
      <x:c r="L398" s="68"/>
      <x:c r="M398" s="68"/>
      <x:c r="N398" s="68"/>
      <x:c r="O398" s="68"/>
      <x:c r="P398" s="68"/>
      <x:c r="Q398" s="68"/>
      <x:c r="R398" s="68"/>
      <x:c r="S398" s="68"/>
      <x:c r="T398" s="68"/>
      <x:c r="U398" s="68"/>
      <x:c r="V398" s="68"/>
      <x:c r="W398" s="68"/>
      <x:c r="X398" s="68"/>
      <x:c r="Y398" s="68"/>
      <x:c r="Z398" s="68"/>
    </x:row>
    <x:row r="399">
      <x:c r="A399" s="68"/>
      <x:c r="B399" s="68"/>
      <x:c r="C399" s="68"/>
      <x:c r="D399" s="68"/>
      <x:c r="E399" s="68"/>
      <x:c r="F399" s="68"/>
      <x:c r="G399" s="68"/>
      <x:c r="H399" s="68"/>
      <x:c r="I399" s="68"/>
      <x:c r="J399" s="68"/>
      <x:c r="K399" s="68"/>
      <x:c r="L399" s="68"/>
      <x:c r="M399" s="68"/>
      <x:c r="N399" s="68"/>
      <x:c r="O399" s="68"/>
      <x:c r="P399" s="68"/>
      <x:c r="Q399" s="68"/>
      <x:c r="R399" s="68"/>
      <x:c r="S399" s="68"/>
      <x:c r="T399" s="68"/>
      <x:c r="U399" s="68"/>
      <x:c r="V399" s="68"/>
      <x:c r="W399" s="68"/>
      <x:c r="X399" s="68"/>
      <x:c r="Y399" s="68"/>
      <x:c r="Z399" s="68"/>
    </x:row>
    <x:row r="400">
      <x:c r="A400" s="68"/>
      <x:c r="B400" s="68"/>
      <x:c r="C400" s="68"/>
      <x:c r="D400" s="68"/>
      <x:c r="E400" s="68"/>
      <x:c r="F400" s="68"/>
      <x:c r="G400" s="68"/>
      <x:c r="H400" s="68"/>
      <x:c r="I400" s="68"/>
      <x:c r="J400" s="68"/>
      <x:c r="K400" s="68"/>
      <x:c r="L400" s="68"/>
      <x:c r="M400" s="68"/>
      <x:c r="N400" s="68"/>
      <x:c r="O400" s="68"/>
      <x:c r="P400" s="68"/>
      <x:c r="Q400" s="68"/>
      <x:c r="R400" s="68"/>
      <x:c r="S400" s="68"/>
      <x:c r="T400" s="68"/>
      <x:c r="U400" s="68"/>
      <x:c r="V400" s="68"/>
      <x:c r="W400" s="68"/>
      <x:c r="X400" s="68"/>
      <x:c r="Y400" s="68"/>
      <x:c r="Z400" s="68"/>
    </x:row>
    <x:row r="401">
      <x:c r="A401" s="68"/>
      <x:c r="B401" s="68"/>
      <x:c r="C401" s="68"/>
      <x:c r="D401" s="68"/>
      <x:c r="E401" s="68"/>
      <x:c r="F401" s="68"/>
      <x:c r="G401" s="68"/>
      <x:c r="H401" s="68"/>
      <x:c r="I401" s="68"/>
      <x:c r="J401" s="68"/>
      <x:c r="K401" s="68"/>
      <x:c r="L401" s="68"/>
      <x:c r="M401" s="68"/>
      <x:c r="N401" s="68"/>
      <x:c r="O401" s="68"/>
      <x:c r="P401" s="68"/>
      <x:c r="Q401" s="68"/>
      <x:c r="R401" s="68"/>
      <x:c r="S401" s="68"/>
      <x:c r="T401" s="68"/>
      <x:c r="U401" s="68"/>
      <x:c r="V401" s="68"/>
      <x:c r="W401" s="68"/>
      <x:c r="X401" s="68"/>
      <x:c r="Y401" s="68"/>
      <x:c r="Z401" s="68"/>
    </x:row>
    <x:row r="402">
      <x:c r="A402" s="68"/>
      <x:c r="B402" s="68"/>
      <x:c r="C402" s="68"/>
      <x:c r="D402" s="68"/>
      <x:c r="E402" s="68"/>
      <x:c r="F402" s="68"/>
      <x:c r="G402" s="68"/>
      <x:c r="H402" s="68"/>
      <x:c r="I402" s="68"/>
      <x:c r="J402" s="68"/>
      <x:c r="K402" s="68"/>
      <x:c r="L402" s="68"/>
      <x:c r="M402" s="68"/>
      <x:c r="N402" s="68"/>
      <x:c r="O402" s="68"/>
      <x:c r="P402" s="68"/>
      <x:c r="Q402" s="68"/>
      <x:c r="R402" s="68"/>
      <x:c r="S402" s="68"/>
      <x:c r="T402" s="68"/>
      <x:c r="U402" s="68"/>
      <x:c r="V402" s="68"/>
      <x:c r="W402" s="68"/>
      <x:c r="X402" s="68"/>
      <x:c r="Y402" s="68"/>
      <x:c r="Z402" s="68"/>
    </x:row>
    <x:row r="403">
      <x:c r="A403" s="68"/>
      <x:c r="B403" s="68"/>
      <x:c r="C403" s="68"/>
      <x:c r="D403" s="68"/>
      <x:c r="E403" s="68"/>
      <x:c r="F403" s="68"/>
      <x:c r="G403" s="68"/>
      <x:c r="H403" s="68"/>
      <x:c r="I403" s="68"/>
      <x:c r="J403" s="68"/>
      <x:c r="K403" s="68"/>
      <x:c r="L403" s="68"/>
      <x:c r="M403" s="68"/>
      <x:c r="N403" s="68"/>
      <x:c r="O403" s="68"/>
      <x:c r="P403" s="68"/>
      <x:c r="Q403" s="68"/>
      <x:c r="R403" s="68"/>
      <x:c r="S403" s="68"/>
      <x:c r="T403" s="68"/>
      <x:c r="U403" s="68"/>
      <x:c r="V403" s="68"/>
      <x:c r="W403" s="68"/>
      <x:c r="X403" s="68"/>
      <x:c r="Y403" s="68"/>
      <x:c r="Z403" s="68"/>
    </x:row>
    <x:row r="404">
      <x:c r="A404" s="68"/>
      <x:c r="B404" s="68"/>
      <x:c r="C404" s="68"/>
      <x:c r="D404" s="68"/>
      <x:c r="E404" s="68"/>
      <x:c r="F404" s="68"/>
      <x:c r="G404" s="68"/>
      <x:c r="H404" s="68"/>
      <x:c r="I404" s="68"/>
      <x:c r="J404" s="68"/>
      <x:c r="K404" s="68"/>
      <x:c r="L404" s="68"/>
      <x:c r="M404" s="68"/>
      <x:c r="N404" s="68"/>
      <x:c r="O404" s="68"/>
      <x:c r="P404" s="68"/>
      <x:c r="Q404" s="68"/>
      <x:c r="R404" s="68"/>
      <x:c r="S404" s="68"/>
      <x:c r="T404" s="68"/>
      <x:c r="U404" s="68"/>
      <x:c r="V404" s="68"/>
      <x:c r="W404" s="68"/>
      <x:c r="X404" s="68"/>
      <x:c r="Y404" s="68"/>
      <x:c r="Z404" s="68"/>
    </x:row>
    <x:row r="405">
      <x:c r="A405" s="68"/>
      <x:c r="B405" s="68"/>
      <x:c r="C405" s="68"/>
      <x:c r="D405" s="68"/>
      <x:c r="E405" s="68"/>
      <x:c r="F405" s="68"/>
      <x:c r="G405" s="68"/>
      <x:c r="H405" s="68"/>
      <x:c r="I405" s="68"/>
      <x:c r="J405" s="68"/>
      <x:c r="K405" s="68"/>
      <x:c r="L405" s="68"/>
      <x:c r="M405" s="68"/>
      <x:c r="N405" s="68"/>
      <x:c r="O405" s="68"/>
      <x:c r="P405" s="68"/>
      <x:c r="Q405" s="68"/>
      <x:c r="R405" s="68"/>
      <x:c r="S405" s="68"/>
      <x:c r="T405" s="68"/>
      <x:c r="U405" s="68"/>
      <x:c r="V405" s="68"/>
      <x:c r="W405" s="68"/>
      <x:c r="X405" s="68"/>
      <x:c r="Y405" s="68"/>
      <x:c r="Z405" s="68"/>
    </x:row>
    <x:row r="406">
      <x:c r="A406" s="68"/>
      <x:c r="B406" s="68"/>
      <x:c r="C406" s="68"/>
      <x:c r="D406" s="68"/>
      <x:c r="E406" s="68"/>
      <x:c r="F406" s="68"/>
      <x:c r="G406" s="68"/>
      <x:c r="H406" s="68"/>
      <x:c r="I406" s="68"/>
      <x:c r="J406" s="68"/>
      <x:c r="K406" s="68"/>
      <x:c r="L406" s="68"/>
      <x:c r="M406" s="68"/>
      <x:c r="N406" s="68"/>
      <x:c r="O406" s="68"/>
      <x:c r="P406" s="68"/>
      <x:c r="Q406" s="68"/>
      <x:c r="R406" s="68"/>
      <x:c r="S406" s="68"/>
      <x:c r="T406" s="68"/>
      <x:c r="U406" s="68"/>
      <x:c r="V406" s="68"/>
      <x:c r="W406" s="68"/>
      <x:c r="X406" s="68"/>
      <x:c r="Y406" s="68"/>
      <x:c r="Z406" s="68"/>
    </x:row>
    <x:row r="407">
      <x:c r="A407" s="68"/>
      <x:c r="B407" s="68"/>
      <x:c r="C407" s="68"/>
      <x:c r="D407" s="68"/>
      <x:c r="E407" s="68"/>
      <x:c r="F407" s="68"/>
      <x:c r="G407" s="68"/>
      <x:c r="H407" s="68"/>
      <x:c r="I407" s="68"/>
      <x:c r="J407" s="68"/>
      <x:c r="K407" s="68"/>
      <x:c r="L407" s="68"/>
      <x:c r="M407" s="68"/>
      <x:c r="N407" s="68"/>
      <x:c r="O407" s="68"/>
      <x:c r="P407" s="68"/>
      <x:c r="Q407" s="68"/>
      <x:c r="R407" s="68"/>
      <x:c r="S407" s="68"/>
      <x:c r="T407" s="68"/>
      <x:c r="U407" s="68"/>
      <x:c r="V407" s="68"/>
      <x:c r="W407" s="68"/>
      <x:c r="X407" s="68"/>
      <x:c r="Y407" s="68"/>
      <x:c r="Z407" s="68"/>
    </x:row>
    <x:row r="408">
      <x:c r="A408" s="68"/>
      <x:c r="B408" s="68"/>
      <x:c r="C408" s="68"/>
      <x:c r="D408" s="68"/>
      <x:c r="E408" s="68"/>
      <x:c r="F408" s="68"/>
      <x:c r="G408" s="68"/>
      <x:c r="H408" s="68"/>
      <x:c r="I408" s="68"/>
      <x:c r="J408" s="68"/>
      <x:c r="K408" s="68"/>
      <x:c r="L408" s="68"/>
      <x:c r="M408" s="68"/>
      <x:c r="N408" s="68"/>
      <x:c r="O408" s="68"/>
      <x:c r="P408" s="68"/>
      <x:c r="Q408" s="68"/>
      <x:c r="R408" s="68"/>
      <x:c r="S408" s="68"/>
      <x:c r="T408" s="68"/>
      <x:c r="U408" s="68"/>
      <x:c r="V408" s="68"/>
      <x:c r="W408" s="68"/>
      <x:c r="X408" s="68"/>
      <x:c r="Y408" s="68"/>
      <x:c r="Z408" s="68"/>
    </x:row>
    <x:row r="409">
      <x:c r="A409" s="68"/>
      <x:c r="B409" s="68"/>
      <x:c r="C409" s="68"/>
      <x:c r="D409" s="68"/>
      <x:c r="E409" s="68"/>
      <x:c r="F409" s="68"/>
      <x:c r="G409" s="68"/>
      <x:c r="H409" s="68"/>
      <x:c r="I409" s="68"/>
      <x:c r="J409" s="68"/>
      <x:c r="K409" s="68"/>
      <x:c r="L409" s="68"/>
      <x:c r="M409" s="68"/>
      <x:c r="N409" s="68"/>
      <x:c r="O409" s="68"/>
      <x:c r="P409" s="68"/>
      <x:c r="Q409" s="68"/>
      <x:c r="R409" s="68"/>
      <x:c r="S409" s="68"/>
      <x:c r="T409" s="68"/>
      <x:c r="U409" s="68"/>
      <x:c r="V409" s="68"/>
      <x:c r="W409" s="68"/>
      <x:c r="X409" s="68"/>
      <x:c r="Y409" s="68"/>
      <x:c r="Z409" s="68"/>
    </x:row>
    <x:row r="410">
      <x:c r="A410" s="68"/>
      <x:c r="B410" s="68"/>
      <x:c r="C410" s="68"/>
      <x:c r="D410" s="68"/>
      <x:c r="E410" s="68"/>
      <x:c r="F410" s="68"/>
      <x:c r="G410" s="68"/>
      <x:c r="H410" s="68"/>
      <x:c r="I410" s="68"/>
      <x:c r="J410" s="68"/>
      <x:c r="K410" s="68"/>
      <x:c r="L410" s="68"/>
      <x:c r="M410" s="68"/>
      <x:c r="N410" s="68"/>
      <x:c r="O410" s="68"/>
      <x:c r="P410" s="68"/>
      <x:c r="Q410" s="68"/>
      <x:c r="R410" s="68"/>
      <x:c r="S410" s="68"/>
      <x:c r="T410" s="68"/>
      <x:c r="U410" s="68"/>
      <x:c r="V410" s="68"/>
      <x:c r="W410" s="68"/>
      <x:c r="X410" s="68"/>
      <x:c r="Y410" s="68"/>
      <x:c r="Z410" s="68"/>
    </x:row>
    <x:row r="411">
      <x:c r="A411" s="68"/>
      <x:c r="B411" s="68"/>
      <x:c r="C411" s="68"/>
      <x:c r="D411" s="68"/>
      <x:c r="E411" s="68"/>
      <x:c r="F411" s="68"/>
      <x:c r="G411" s="68"/>
      <x:c r="H411" s="68"/>
      <x:c r="I411" s="68"/>
      <x:c r="J411" s="68"/>
      <x:c r="K411" s="68"/>
      <x:c r="L411" s="68"/>
      <x:c r="M411" s="68"/>
      <x:c r="N411" s="68"/>
      <x:c r="O411" s="68"/>
      <x:c r="P411" s="68"/>
      <x:c r="Q411" s="68"/>
      <x:c r="R411" s="68"/>
      <x:c r="S411" s="68"/>
      <x:c r="T411" s="68"/>
      <x:c r="U411" s="68"/>
      <x:c r="V411" s="68"/>
      <x:c r="W411" s="68"/>
      <x:c r="X411" s="68"/>
      <x:c r="Y411" s="68"/>
      <x:c r="Z411" s="68"/>
    </x:row>
    <x:row r="412">
      <x:c r="A412" s="68"/>
      <x:c r="B412" s="68"/>
      <x:c r="C412" s="68"/>
      <x:c r="D412" s="68"/>
      <x:c r="E412" s="68"/>
      <x:c r="F412" s="68"/>
      <x:c r="G412" s="68"/>
      <x:c r="H412" s="68"/>
      <x:c r="I412" s="68"/>
      <x:c r="J412" s="68"/>
      <x:c r="K412" s="68"/>
      <x:c r="L412" s="68"/>
      <x:c r="M412" s="68"/>
      <x:c r="N412" s="68"/>
      <x:c r="O412" s="68"/>
      <x:c r="P412" s="68"/>
      <x:c r="Q412" s="68"/>
      <x:c r="R412" s="68"/>
      <x:c r="S412" s="68"/>
      <x:c r="T412" s="68"/>
      <x:c r="U412" s="68"/>
      <x:c r="V412" s="68"/>
      <x:c r="W412" s="68"/>
      <x:c r="X412" s="68"/>
      <x:c r="Y412" s="68"/>
      <x:c r="Z412" s="68"/>
    </x:row>
    <x:row r="413">
      <x:c r="A413" s="68"/>
      <x:c r="B413" s="68"/>
      <x:c r="C413" s="68"/>
      <x:c r="D413" s="68"/>
      <x:c r="E413" s="68"/>
      <x:c r="F413" s="68"/>
      <x:c r="G413" s="68"/>
      <x:c r="H413" s="68"/>
      <x:c r="I413" s="68"/>
      <x:c r="J413" s="68"/>
      <x:c r="K413" s="68"/>
      <x:c r="L413" s="68"/>
      <x:c r="M413" s="68"/>
      <x:c r="N413" s="68"/>
      <x:c r="O413" s="68"/>
      <x:c r="P413" s="68"/>
      <x:c r="Q413" s="68"/>
      <x:c r="R413" s="68"/>
      <x:c r="S413" s="68"/>
      <x:c r="T413" s="68"/>
      <x:c r="U413" s="68"/>
      <x:c r="V413" s="68"/>
      <x:c r="W413" s="68"/>
      <x:c r="X413" s="68"/>
      <x:c r="Y413" s="68"/>
      <x:c r="Z413" s="68"/>
    </x:row>
    <x:row r="414">
      <x:c r="A414" s="68"/>
      <x:c r="B414" s="68"/>
      <x:c r="C414" s="68"/>
      <x:c r="D414" s="68"/>
      <x:c r="E414" s="68"/>
      <x:c r="F414" s="68"/>
      <x:c r="G414" s="68"/>
      <x:c r="H414" s="68"/>
      <x:c r="I414" s="68"/>
      <x:c r="J414" s="68"/>
      <x:c r="K414" s="68"/>
      <x:c r="L414" s="68"/>
      <x:c r="M414" s="68"/>
      <x:c r="N414" s="68"/>
      <x:c r="O414" s="68"/>
      <x:c r="P414" s="68"/>
      <x:c r="Q414" s="68"/>
      <x:c r="R414" s="68"/>
      <x:c r="S414" s="68"/>
      <x:c r="T414" s="68"/>
      <x:c r="U414" s="68"/>
      <x:c r="V414" s="68"/>
      <x:c r="W414" s="68"/>
      <x:c r="X414" s="68"/>
      <x:c r="Y414" s="68"/>
      <x:c r="Z414" s="68"/>
    </x:row>
    <x:row r="415">
      <x:c r="A415" s="68"/>
      <x:c r="B415" s="68"/>
      <x:c r="C415" s="68"/>
      <x:c r="D415" s="68"/>
      <x:c r="E415" s="68"/>
      <x:c r="F415" s="68"/>
      <x:c r="G415" s="68"/>
      <x:c r="H415" s="68"/>
      <x:c r="I415" s="68"/>
      <x:c r="J415" s="68"/>
      <x:c r="K415" s="68"/>
      <x:c r="L415" s="68"/>
      <x:c r="M415" s="68"/>
      <x:c r="N415" s="68"/>
      <x:c r="O415" s="68"/>
      <x:c r="P415" s="68"/>
      <x:c r="Q415" s="68"/>
      <x:c r="R415" s="68"/>
      <x:c r="S415" s="68"/>
      <x:c r="T415" s="68"/>
      <x:c r="U415" s="68"/>
      <x:c r="V415" s="68"/>
      <x:c r="W415" s="68"/>
      <x:c r="X415" s="68"/>
      <x:c r="Y415" s="68"/>
      <x:c r="Z415" s="68"/>
    </x:row>
    <x:row r="416">
      <x:c r="A416" s="68"/>
      <x:c r="B416" s="68"/>
      <x:c r="C416" s="68"/>
      <x:c r="D416" s="68"/>
      <x:c r="E416" s="68"/>
      <x:c r="F416" s="68"/>
      <x:c r="G416" s="68"/>
      <x:c r="H416" s="68"/>
      <x:c r="I416" s="68"/>
      <x:c r="J416" s="68"/>
      <x:c r="K416" s="68"/>
      <x:c r="L416" s="68"/>
      <x:c r="M416" s="68"/>
      <x:c r="N416" s="68"/>
      <x:c r="O416" s="68"/>
      <x:c r="P416" s="68"/>
      <x:c r="Q416" s="68"/>
      <x:c r="R416" s="68"/>
      <x:c r="S416" s="68"/>
      <x:c r="T416" s="68"/>
      <x:c r="U416" s="68"/>
      <x:c r="V416" s="68"/>
      <x:c r="W416" s="68"/>
      <x:c r="X416" s="68"/>
      <x:c r="Y416" s="68"/>
      <x:c r="Z416" s="68"/>
    </x:row>
    <x:row r="417">
      <x:c r="A417" s="68"/>
      <x:c r="B417" s="68"/>
      <x:c r="C417" s="68"/>
      <x:c r="D417" s="68"/>
      <x:c r="E417" s="68"/>
      <x:c r="F417" s="68"/>
      <x:c r="G417" s="68"/>
      <x:c r="H417" s="68"/>
      <x:c r="I417" s="68"/>
      <x:c r="J417" s="68"/>
      <x:c r="K417" s="68"/>
      <x:c r="L417" s="68"/>
      <x:c r="M417" s="68"/>
      <x:c r="N417" s="68"/>
      <x:c r="O417" s="68"/>
      <x:c r="P417" s="68"/>
      <x:c r="Q417" s="68"/>
      <x:c r="R417" s="68"/>
      <x:c r="S417" s="68"/>
      <x:c r="T417" s="68"/>
      <x:c r="U417" s="68"/>
      <x:c r="V417" s="68"/>
      <x:c r="W417" s="68"/>
      <x:c r="X417" s="68"/>
      <x:c r="Y417" s="68"/>
      <x:c r="Z417" s="68"/>
    </x:row>
    <x:row r="418">
      <x:c r="A418" s="68"/>
      <x:c r="B418" s="68"/>
      <x:c r="C418" s="68"/>
      <x:c r="D418" s="68"/>
      <x:c r="E418" s="68"/>
      <x:c r="F418" s="68"/>
      <x:c r="G418" s="68"/>
      <x:c r="H418" s="68"/>
      <x:c r="I418" s="68"/>
      <x:c r="J418" s="68"/>
      <x:c r="K418" s="68"/>
      <x:c r="L418" s="68"/>
      <x:c r="M418" s="68"/>
      <x:c r="N418" s="68"/>
      <x:c r="O418" s="68"/>
      <x:c r="P418" s="68"/>
      <x:c r="Q418" s="68"/>
      <x:c r="R418" s="68"/>
      <x:c r="S418" s="68"/>
      <x:c r="T418" s="68"/>
      <x:c r="U418" s="68"/>
      <x:c r="V418" s="68"/>
      <x:c r="W418" s="68"/>
      <x:c r="X418" s="68"/>
      <x:c r="Y418" s="68"/>
      <x:c r="Z418" s="68"/>
    </x:row>
    <x:row r="419">
      <x:c r="A419" s="68"/>
      <x:c r="B419" s="68"/>
      <x:c r="C419" s="68"/>
      <x:c r="D419" s="68"/>
      <x:c r="E419" s="68"/>
      <x:c r="F419" s="68"/>
      <x:c r="G419" s="68"/>
      <x:c r="H419" s="68"/>
      <x:c r="I419" s="68"/>
      <x:c r="J419" s="68"/>
      <x:c r="K419" s="68"/>
      <x:c r="L419" s="68"/>
      <x:c r="M419" s="68"/>
      <x:c r="N419" s="68"/>
      <x:c r="O419" s="68"/>
      <x:c r="P419" s="68"/>
      <x:c r="Q419" s="68"/>
      <x:c r="R419" s="68"/>
      <x:c r="S419" s="68"/>
      <x:c r="T419" s="68"/>
      <x:c r="U419" s="68"/>
      <x:c r="V419" s="68"/>
      <x:c r="W419" s="68"/>
      <x:c r="X419" s="68"/>
      <x:c r="Y419" s="68"/>
      <x:c r="Z419" s="68"/>
    </x:row>
    <x:row r="420">
      <x:c r="A420" s="68"/>
      <x:c r="B420" s="68"/>
      <x:c r="C420" s="68"/>
      <x:c r="D420" s="68"/>
      <x:c r="E420" s="68"/>
      <x:c r="F420" s="68"/>
      <x:c r="G420" s="68"/>
      <x:c r="H420" s="68"/>
      <x:c r="I420" s="68"/>
      <x:c r="J420" s="68"/>
      <x:c r="K420" s="68"/>
      <x:c r="L420" s="68"/>
      <x:c r="M420" s="68"/>
      <x:c r="N420" s="68"/>
      <x:c r="O420" s="68"/>
      <x:c r="P420" s="68"/>
      <x:c r="Q420" s="68"/>
      <x:c r="R420" s="68"/>
      <x:c r="S420" s="68"/>
      <x:c r="T420" s="68"/>
      <x:c r="U420" s="68"/>
      <x:c r="V420" s="68"/>
      <x:c r="W420" s="68"/>
      <x:c r="X420" s="68"/>
      <x:c r="Y420" s="68"/>
      <x:c r="Z420" s="68"/>
    </x:row>
    <x:row r="421">
      <x:c r="A421" s="68"/>
      <x:c r="B421" s="68"/>
      <x:c r="C421" s="68"/>
      <x:c r="D421" s="68"/>
      <x:c r="E421" s="68"/>
      <x:c r="F421" s="68"/>
      <x:c r="G421" s="68"/>
      <x:c r="H421" s="68"/>
      <x:c r="I421" s="68"/>
      <x:c r="J421" s="68"/>
      <x:c r="K421" s="68"/>
      <x:c r="L421" s="68"/>
      <x:c r="M421" s="68"/>
      <x:c r="N421" s="68"/>
      <x:c r="O421" s="68"/>
      <x:c r="P421" s="68"/>
      <x:c r="Q421" s="68"/>
      <x:c r="R421" s="68"/>
      <x:c r="S421" s="68"/>
      <x:c r="T421" s="68"/>
      <x:c r="U421" s="68"/>
      <x:c r="V421" s="68"/>
      <x:c r="W421" s="68"/>
      <x:c r="X421" s="68"/>
      <x:c r="Y421" s="68"/>
      <x:c r="Z421" s="68"/>
    </x:row>
    <x:row r="422">
      <x:c r="A422" s="68"/>
      <x:c r="B422" s="68"/>
      <x:c r="C422" s="68"/>
      <x:c r="D422" s="68"/>
      <x:c r="E422" s="68"/>
      <x:c r="F422" s="68"/>
      <x:c r="G422" s="68"/>
      <x:c r="H422" s="68"/>
      <x:c r="I422" s="68"/>
      <x:c r="J422" s="68"/>
      <x:c r="K422" s="68"/>
      <x:c r="L422" s="68"/>
      <x:c r="M422" s="68"/>
      <x:c r="N422" s="68"/>
      <x:c r="O422" s="68"/>
      <x:c r="P422" s="68"/>
      <x:c r="Q422" s="68"/>
      <x:c r="R422" s="68"/>
      <x:c r="S422" s="68"/>
      <x:c r="T422" s="68"/>
      <x:c r="U422" s="68"/>
      <x:c r="V422" s="68"/>
      <x:c r="W422" s="68"/>
      <x:c r="X422" s="68"/>
      <x:c r="Y422" s="68"/>
      <x:c r="Z422" s="68"/>
    </x:row>
    <x:row r="423">
      <x:c r="A423" s="68"/>
      <x:c r="B423" s="68"/>
      <x:c r="C423" s="68"/>
      <x:c r="D423" s="68"/>
      <x:c r="E423" s="68"/>
      <x:c r="F423" s="68"/>
      <x:c r="G423" s="68"/>
      <x:c r="H423" s="68"/>
      <x:c r="I423" s="68"/>
      <x:c r="J423" s="68"/>
      <x:c r="K423" s="68"/>
      <x:c r="L423" s="68"/>
      <x:c r="M423" s="68"/>
      <x:c r="N423" s="68"/>
      <x:c r="O423" s="68"/>
      <x:c r="P423" s="68"/>
      <x:c r="Q423" s="68"/>
      <x:c r="R423" s="68"/>
      <x:c r="S423" s="68"/>
      <x:c r="T423" s="68"/>
      <x:c r="U423" s="68"/>
      <x:c r="V423" s="68"/>
      <x:c r="W423" s="68"/>
      <x:c r="X423" s="68"/>
      <x:c r="Y423" s="68"/>
      <x:c r="Z423" s="68"/>
    </x:row>
    <x:row r="424">
      <x:c r="A424" s="68"/>
      <x:c r="B424" s="68"/>
      <x:c r="C424" s="68"/>
      <x:c r="D424" s="68"/>
      <x:c r="E424" s="68"/>
      <x:c r="F424" s="68"/>
      <x:c r="G424" s="68"/>
      <x:c r="H424" s="68"/>
      <x:c r="I424" s="68"/>
      <x:c r="J424" s="68"/>
      <x:c r="K424" s="68"/>
      <x:c r="L424" s="68"/>
      <x:c r="M424" s="68"/>
      <x:c r="N424" s="68"/>
      <x:c r="O424" s="68"/>
      <x:c r="P424" s="68"/>
      <x:c r="Q424" s="68"/>
      <x:c r="R424" s="68"/>
      <x:c r="S424" s="68"/>
      <x:c r="T424" s="68"/>
      <x:c r="U424" s="68"/>
      <x:c r="V424" s="68"/>
      <x:c r="W424" s="68"/>
      <x:c r="X424" s="68"/>
      <x:c r="Y424" s="68"/>
      <x:c r="Z424" s="68"/>
    </x:row>
    <x:row r="425">
      <x:c r="A425" s="68"/>
      <x:c r="B425" s="68"/>
      <x:c r="C425" s="68"/>
      <x:c r="D425" s="68"/>
      <x:c r="E425" s="68"/>
      <x:c r="F425" s="68"/>
      <x:c r="G425" s="68"/>
      <x:c r="H425" s="68"/>
      <x:c r="I425" s="68"/>
      <x:c r="J425" s="68"/>
      <x:c r="K425" s="68"/>
      <x:c r="L425" s="68"/>
      <x:c r="M425" s="68"/>
      <x:c r="N425" s="68"/>
      <x:c r="O425" s="68"/>
      <x:c r="P425" s="68"/>
      <x:c r="Q425" s="68"/>
      <x:c r="R425" s="68"/>
      <x:c r="S425" s="68"/>
      <x:c r="T425" s="68"/>
      <x:c r="U425" s="68"/>
      <x:c r="V425" s="68"/>
      <x:c r="W425" s="68"/>
      <x:c r="X425" s="68"/>
      <x:c r="Y425" s="68"/>
      <x:c r="Z425" s="68"/>
    </x:row>
    <x:row r="426">
      <x:c r="A426" s="68"/>
      <x:c r="B426" s="68"/>
      <x:c r="C426" s="68"/>
      <x:c r="D426" s="68"/>
      <x:c r="E426" s="68"/>
      <x:c r="F426" s="68"/>
      <x:c r="G426" s="68"/>
      <x:c r="H426" s="68"/>
      <x:c r="I426" s="68"/>
      <x:c r="J426" s="68"/>
      <x:c r="K426" s="68"/>
      <x:c r="L426" s="68"/>
      <x:c r="M426" s="68"/>
      <x:c r="N426" s="68"/>
      <x:c r="O426" s="68"/>
      <x:c r="P426" s="68"/>
      <x:c r="Q426" s="68"/>
      <x:c r="R426" s="68"/>
      <x:c r="S426" s="68"/>
      <x:c r="T426" s="68"/>
      <x:c r="U426" s="68"/>
      <x:c r="V426" s="68"/>
      <x:c r="W426" s="68"/>
      <x:c r="X426" s="68"/>
      <x:c r="Y426" s="68"/>
      <x:c r="Z426" s="68"/>
    </x:row>
    <x:row r="427">
      <x:c r="A427" s="68"/>
      <x:c r="B427" s="68"/>
      <x:c r="C427" s="68"/>
      <x:c r="D427" s="68"/>
      <x:c r="E427" s="68"/>
      <x:c r="F427" s="68"/>
      <x:c r="G427" s="68"/>
      <x:c r="H427" s="68"/>
      <x:c r="I427" s="68"/>
      <x:c r="J427" s="68"/>
      <x:c r="K427" s="68"/>
      <x:c r="L427" s="68"/>
      <x:c r="M427" s="68"/>
      <x:c r="N427" s="68"/>
      <x:c r="O427" s="68"/>
      <x:c r="P427" s="68"/>
      <x:c r="Q427" s="68"/>
      <x:c r="R427" s="68"/>
      <x:c r="S427" s="68"/>
      <x:c r="T427" s="68"/>
      <x:c r="U427" s="68"/>
      <x:c r="V427" s="68"/>
      <x:c r="W427" s="68"/>
      <x:c r="X427" s="68"/>
      <x:c r="Y427" s="68"/>
      <x:c r="Z427" s="68"/>
    </x:row>
    <x:row r="428">
      <x:c r="A428" s="68"/>
      <x:c r="B428" s="68"/>
      <x:c r="C428" s="68"/>
      <x:c r="D428" s="68"/>
      <x:c r="E428" s="68"/>
      <x:c r="F428" s="68"/>
      <x:c r="G428" s="68"/>
      <x:c r="H428" s="68"/>
      <x:c r="I428" s="68"/>
      <x:c r="J428" s="68"/>
      <x:c r="K428" s="68"/>
      <x:c r="L428" s="68"/>
      <x:c r="M428" s="68"/>
      <x:c r="N428" s="68"/>
      <x:c r="O428" s="68"/>
      <x:c r="P428" s="68"/>
      <x:c r="Q428" s="68"/>
      <x:c r="R428" s="68"/>
      <x:c r="S428" s="68"/>
      <x:c r="T428" s="68"/>
      <x:c r="U428" s="68"/>
      <x:c r="V428" s="68"/>
      <x:c r="W428" s="68"/>
      <x:c r="X428" s="68"/>
      <x:c r="Y428" s="68"/>
      <x:c r="Z428" s="68"/>
    </x:row>
    <x:row r="429">
      <x:c r="A429" s="68"/>
      <x:c r="B429" s="68"/>
      <x:c r="C429" s="68"/>
      <x:c r="D429" s="68"/>
      <x:c r="E429" s="68"/>
      <x:c r="F429" s="68"/>
      <x:c r="G429" s="68"/>
      <x:c r="H429" s="68"/>
      <x:c r="I429" s="68"/>
      <x:c r="J429" s="68"/>
      <x:c r="K429" s="68"/>
      <x:c r="L429" s="68"/>
      <x:c r="M429" s="68"/>
      <x:c r="N429" s="68"/>
      <x:c r="O429" s="68"/>
      <x:c r="P429" s="68"/>
      <x:c r="Q429" s="68"/>
      <x:c r="R429" s="68"/>
      <x:c r="S429" s="68"/>
      <x:c r="T429" s="68"/>
      <x:c r="U429" s="68"/>
      <x:c r="V429" s="68"/>
      <x:c r="W429" s="68"/>
      <x:c r="X429" s="68"/>
      <x:c r="Y429" s="68"/>
      <x:c r="Z429" s="68"/>
    </x:row>
    <x:row r="430">
      <x:c r="A430" s="68"/>
      <x:c r="B430" s="68"/>
      <x:c r="C430" s="68"/>
      <x:c r="D430" s="68"/>
      <x:c r="E430" s="68"/>
      <x:c r="F430" s="68"/>
      <x:c r="G430" s="68"/>
      <x:c r="H430" s="68"/>
      <x:c r="I430" s="68"/>
      <x:c r="J430" s="68"/>
      <x:c r="K430" s="68"/>
      <x:c r="L430" s="68"/>
      <x:c r="M430" s="68"/>
      <x:c r="N430" s="68"/>
      <x:c r="O430" s="68"/>
      <x:c r="P430" s="68"/>
      <x:c r="Q430" s="68"/>
      <x:c r="R430" s="68"/>
      <x:c r="S430" s="68"/>
      <x:c r="T430" s="68"/>
      <x:c r="U430" s="68"/>
      <x:c r="V430" s="68"/>
      <x:c r="W430" s="68"/>
      <x:c r="X430" s="68"/>
      <x:c r="Y430" s="68"/>
      <x:c r="Z430" s="68"/>
    </x:row>
    <x:row r="431">
      <x:c r="A431" s="68"/>
      <x:c r="B431" s="68"/>
      <x:c r="C431" s="68"/>
      <x:c r="D431" s="68"/>
      <x:c r="E431" s="68"/>
      <x:c r="F431" s="68"/>
      <x:c r="G431" s="68"/>
      <x:c r="H431" s="68"/>
      <x:c r="I431" s="68"/>
      <x:c r="J431" s="68"/>
      <x:c r="K431" s="68"/>
      <x:c r="L431" s="68"/>
      <x:c r="M431" s="68"/>
      <x:c r="N431" s="68"/>
      <x:c r="O431" s="68"/>
      <x:c r="P431" s="68"/>
      <x:c r="Q431" s="68"/>
      <x:c r="R431" s="68"/>
      <x:c r="S431" s="68"/>
      <x:c r="T431" s="68"/>
      <x:c r="U431" s="68"/>
      <x:c r="V431" s="68"/>
      <x:c r="W431" s="68"/>
      <x:c r="X431" s="68"/>
      <x:c r="Y431" s="68"/>
      <x:c r="Z431" s="68"/>
    </x:row>
    <x:row r="432">
      <x:c r="A432" s="68"/>
      <x:c r="B432" s="68"/>
      <x:c r="C432" s="68"/>
      <x:c r="D432" s="68"/>
      <x:c r="E432" s="68"/>
      <x:c r="F432" s="68"/>
      <x:c r="G432" s="68"/>
      <x:c r="H432" s="68"/>
      <x:c r="I432" s="68"/>
      <x:c r="J432" s="68"/>
      <x:c r="K432" s="68"/>
      <x:c r="L432" s="68"/>
      <x:c r="M432" s="68"/>
      <x:c r="N432" s="68"/>
      <x:c r="O432" s="68"/>
      <x:c r="P432" s="68"/>
      <x:c r="Q432" s="68"/>
      <x:c r="R432" s="68"/>
      <x:c r="S432" s="68"/>
      <x:c r="T432" s="68"/>
      <x:c r="U432" s="68"/>
      <x:c r="V432" s="68"/>
      <x:c r="W432" s="68"/>
      <x:c r="X432" s="68"/>
      <x:c r="Y432" s="68"/>
      <x:c r="Z432" s="68"/>
    </x:row>
    <x:row r="433">
      <x:c r="A433" s="68"/>
      <x:c r="B433" s="68"/>
      <x:c r="C433" s="68"/>
      <x:c r="D433" s="68"/>
      <x:c r="E433" s="68"/>
      <x:c r="F433" s="68"/>
      <x:c r="G433" s="68"/>
      <x:c r="H433" s="68"/>
      <x:c r="I433" s="68"/>
      <x:c r="J433" s="68"/>
      <x:c r="K433" s="68"/>
      <x:c r="L433" s="68"/>
      <x:c r="M433" s="68"/>
      <x:c r="N433" s="68"/>
      <x:c r="O433" s="68"/>
      <x:c r="P433" s="68"/>
      <x:c r="Q433" s="68"/>
      <x:c r="R433" s="68"/>
      <x:c r="S433" s="68"/>
      <x:c r="T433" s="68"/>
      <x:c r="U433" s="68"/>
      <x:c r="V433" s="68"/>
      <x:c r="W433" s="68"/>
      <x:c r="X433" s="68"/>
      <x:c r="Y433" s="68"/>
      <x:c r="Z433" s="68"/>
    </x:row>
    <x:row r="434">
      <x:c r="A434" s="68"/>
      <x:c r="B434" s="68"/>
      <x:c r="C434" s="68"/>
      <x:c r="D434" s="68"/>
      <x:c r="E434" s="68"/>
      <x:c r="F434" s="68"/>
      <x:c r="G434" s="68"/>
      <x:c r="H434" s="68"/>
      <x:c r="I434" s="68"/>
      <x:c r="J434" s="68"/>
      <x:c r="K434" s="68"/>
      <x:c r="L434" s="68"/>
      <x:c r="M434" s="68"/>
      <x:c r="N434" s="68"/>
      <x:c r="O434" s="68"/>
      <x:c r="P434" s="68"/>
      <x:c r="Q434" s="68"/>
      <x:c r="R434" s="68"/>
      <x:c r="S434" s="68"/>
      <x:c r="T434" s="68"/>
      <x:c r="U434" s="68"/>
      <x:c r="V434" s="68"/>
      <x:c r="W434" s="68"/>
      <x:c r="X434" s="68"/>
      <x:c r="Y434" s="68"/>
      <x:c r="Z434" s="68"/>
    </x:row>
    <x:row r="435">
      <x:c r="A435" s="68"/>
      <x:c r="B435" s="68"/>
      <x:c r="C435" s="68"/>
      <x:c r="D435" s="68"/>
      <x:c r="E435" s="68"/>
      <x:c r="F435" s="68"/>
      <x:c r="G435" s="68"/>
      <x:c r="H435" s="68"/>
      <x:c r="I435" s="68"/>
      <x:c r="J435" s="68"/>
      <x:c r="K435" s="68"/>
      <x:c r="L435" s="68"/>
      <x:c r="M435" s="68"/>
      <x:c r="N435" s="68"/>
      <x:c r="O435" s="68"/>
      <x:c r="P435" s="68"/>
      <x:c r="Q435" s="68"/>
      <x:c r="R435" s="68"/>
      <x:c r="S435" s="68"/>
      <x:c r="T435" s="68"/>
      <x:c r="U435" s="68"/>
      <x:c r="V435" s="68"/>
      <x:c r="W435" s="68"/>
      <x:c r="X435" s="68"/>
      <x:c r="Y435" s="68"/>
      <x:c r="Z435" s="68"/>
    </x:row>
    <x:row r="436">
      <x:c r="A436" s="68"/>
      <x:c r="B436" s="68"/>
      <x:c r="C436" s="68"/>
      <x:c r="D436" s="68"/>
      <x:c r="E436" s="68"/>
      <x:c r="F436" s="68"/>
      <x:c r="G436" s="68"/>
      <x:c r="H436" s="68"/>
      <x:c r="I436" s="68"/>
      <x:c r="J436" s="68"/>
      <x:c r="K436" s="68"/>
      <x:c r="L436" s="68"/>
      <x:c r="M436" s="68"/>
      <x:c r="N436" s="68"/>
      <x:c r="O436" s="68"/>
      <x:c r="P436" s="68"/>
      <x:c r="Q436" s="68"/>
      <x:c r="R436" s="68"/>
      <x:c r="S436" s="68"/>
      <x:c r="T436" s="68"/>
      <x:c r="U436" s="68"/>
      <x:c r="V436" s="68"/>
      <x:c r="W436" s="68"/>
      <x:c r="X436" s="68"/>
      <x:c r="Y436" s="68"/>
      <x:c r="Z436" s="68"/>
    </x:row>
    <x:row r="437">
      <x:c r="A437" s="68"/>
      <x:c r="B437" s="68"/>
      <x:c r="C437" s="68"/>
      <x:c r="D437" s="68"/>
      <x:c r="E437" s="68"/>
      <x:c r="F437" s="68"/>
      <x:c r="G437" s="68"/>
      <x:c r="H437" s="68"/>
      <x:c r="I437" s="68"/>
      <x:c r="J437" s="68"/>
      <x:c r="K437" s="68"/>
      <x:c r="L437" s="68"/>
      <x:c r="M437" s="68"/>
      <x:c r="N437" s="68"/>
      <x:c r="O437" s="68"/>
      <x:c r="P437" s="68"/>
      <x:c r="Q437" s="68"/>
      <x:c r="R437" s="68"/>
      <x:c r="S437" s="68"/>
      <x:c r="T437" s="68"/>
      <x:c r="U437" s="68"/>
      <x:c r="V437" s="68"/>
      <x:c r="W437" s="68"/>
      <x:c r="X437" s="68"/>
      <x:c r="Y437" s="68"/>
      <x:c r="Z437" s="68"/>
    </x:row>
    <x:row r="438">
      <x:c r="A438" s="68"/>
      <x:c r="B438" s="68"/>
      <x:c r="C438" s="68"/>
      <x:c r="D438" s="68"/>
      <x:c r="E438" s="68"/>
      <x:c r="F438" s="68"/>
      <x:c r="G438" s="68"/>
      <x:c r="H438" s="68"/>
      <x:c r="I438" s="68"/>
      <x:c r="J438" s="68"/>
      <x:c r="K438" s="68"/>
      <x:c r="L438" s="68"/>
      <x:c r="M438" s="68"/>
      <x:c r="N438" s="68"/>
      <x:c r="O438" s="68"/>
      <x:c r="P438" s="68"/>
      <x:c r="Q438" s="68"/>
      <x:c r="R438" s="68"/>
      <x:c r="S438" s="68"/>
      <x:c r="T438" s="68"/>
      <x:c r="U438" s="68"/>
      <x:c r="V438" s="68"/>
      <x:c r="W438" s="68"/>
      <x:c r="X438" s="68"/>
      <x:c r="Y438" s="68"/>
      <x:c r="Z438" s="68"/>
    </x:row>
    <x:row r="439">
      <x:c r="A439" s="68"/>
      <x:c r="B439" s="68"/>
      <x:c r="C439" s="68"/>
      <x:c r="D439" s="68"/>
      <x:c r="E439" s="68"/>
      <x:c r="F439" s="68"/>
      <x:c r="G439" s="68"/>
      <x:c r="H439" s="68"/>
      <x:c r="I439" s="68"/>
      <x:c r="J439" s="68"/>
      <x:c r="K439" s="68"/>
      <x:c r="L439" s="68"/>
      <x:c r="M439" s="68"/>
      <x:c r="N439" s="68"/>
      <x:c r="O439" s="68"/>
      <x:c r="P439" s="68"/>
      <x:c r="Q439" s="68"/>
      <x:c r="R439" s="68"/>
      <x:c r="S439" s="68"/>
      <x:c r="T439" s="68"/>
      <x:c r="U439" s="68"/>
      <x:c r="V439" s="68"/>
      <x:c r="W439" s="68"/>
      <x:c r="X439" s="68"/>
      <x:c r="Y439" s="68"/>
      <x:c r="Z439" s="68"/>
    </x:row>
    <x:row r="440">
      <x:c r="A440" s="68"/>
      <x:c r="B440" s="68"/>
      <x:c r="C440" s="68"/>
      <x:c r="D440" s="68"/>
      <x:c r="E440" s="68"/>
      <x:c r="F440" s="68"/>
      <x:c r="G440" s="68"/>
      <x:c r="H440" s="68"/>
      <x:c r="I440" s="68"/>
      <x:c r="J440" s="68"/>
      <x:c r="K440" s="68"/>
      <x:c r="L440" s="68"/>
      <x:c r="M440" s="68"/>
      <x:c r="N440" s="68"/>
      <x:c r="O440" s="68"/>
      <x:c r="P440" s="68"/>
      <x:c r="Q440" s="68"/>
      <x:c r="R440" s="68"/>
      <x:c r="S440" s="68"/>
      <x:c r="T440" s="68"/>
      <x:c r="U440" s="68"/>
      <x:c r="V440" s="68"/>
      <x:c r="W440" s="68"/>
      <x:c r="X440" s="68"/>
      <x:c r="Y440" s="68"/>
      <x:c r="Z440" s="68"/>
    </x:row>
    <x:row r="441">
      <x:c r="A441" s="68"/>
      <x:c r="B441" s="68"/>
      <x:c r="C441" s="68"/>
      <x:c r="D441" s="68"/>
      <x:c r="E441" s="68"/>
      <x:c r="F441" s="68"/>
      <x:c r="G441" s="68"/>
      <x:c r="H441" s="68"/>
      <x:c r="I441" s="68"/>
      <x:c r="J441" s="68"/>
      <x:c r="K441" s="68"/>
      <x:c r="L441" s="68"/>
      <x:c r="M441" s="68"/>
      <x:c r="N441" s="68"/>
      <x:c r="O441" s="68"/>
      <x:c r="P441" s="68"/>
      <x:c r="Q441" s="68"/>
      <x:c r="R441" s="68"/>
      <x:c r="S441" s="68"/>
      <x:c r="T441" s="68"/>
      <x:c r="U441" s="68"/>
      <x:c r="V441" s="68"/>
      <x:c r="W441" s="68"/>
      <x:c r="X441" s="68"/>
      <x:c r="Y441" s="68"/>
      <x:c r="Z441" s="68"/>
    </x:row>
    <x:row r="442">
      <x:c r="A442" s="68"/>
      <x:c r="B442" s="68"/>
      <x:c r="C442" s="68"/>
      <x:c r="D442" s="68"/>
      <x:c r="E442" s="68"/>
      <x:c r="F442" s="68"/>
      <x:c r="G442" s="68"/>
      <x:c r="H442" s="68"/>
      <x:c r="I442" s="68"/>
      <x:c r="J442" s="68"/>
      <x:c r="K442" s="68"/>
      <x:c r="L442" s="68"/>
      <x:c r="M442" s="68"/>
      <x:c r="N442" s="68"/>
      <x:c r="O442" s="68"/>
      <x:c r="P442" s="68"/>
      <x:c r="Q442" s="68"/>
      <x:c r="R442" s="68"/>
      <x:c r="S442" s="68"/>
      <x:c r="T442" s="68"/>
      <x:c r="U442" s="68"/>
      <x:c r="V442" s="68"/>
      <x:c r="W442" s="68"/>
      <x:c r="X442" s="68"/>
      <x:c r="Y442" s="68"/>
      <x:c r="Z442" s="68"/>
    </x:row>
    <x:row r="443">
      <x:c r="A443" s="68"/>
      <x:c r="B443" s="68"/>
      <x:c r="C443" s="68"/>
      <x:c r="D443" s="68"/>
      <x:c r="E443" s="68"/>
      <x:c r="F443" s="68"/>
      <x:c r="G443" s="68"/>
      <x:c r="H443" s="68"/>
      <x:c r="I443" s="68"/>
      <x:c r="J443" s="68"/>
      <x:c r="K443" s="68"/>
      <x:c r="L443" s="68"/>
      <x:c r="M443" s="68"/>
      <x:c r="N443" s="68"/>
      <x:c r="O443" s="68"/>
      <x:c r="P443" s="68"/>
      <x:c r="Q443" s="68"/>
      <x:c r="R443" s="68"/>
      <x:c r="S443" s="68"/>
      <x:c r="T443" s="68"/>
      <x:c r="U443" s="68"/>
      <x:c r="V443" s="68"/>
      <x:c r="W443" s="68"/>
      <x:c r="X443" s="68"/>
      <x:c r="Y443" s="68"/>
      <x:c r="Z443" s="68"/>
    </x:row>
    <x:row r="444">
      <x:c r="A444" s="68"/>
      <x:c r="B444" s="68"/>
      <x:c r="C444" s="68"/>
      <x:c r="D444" s="68"/>
      <x:c r="E444" s="68"/>
      <x:c r="F444" s="68"/>
      <x:c r="G444" s="68"/>
      <x:c r="H444" s="68"/>
      <x:c r="I444" s="68"/>
      <x:c r="J444" s="68"/>
      <x:c r="K444" s="68"/>
      <x:c r="L444" s="68"/>
      <x:c r="M444" s="68"/>
      <x:c r="N444" s="68"/>
      <x:c r="O444" s="68"/>
      <x:c r="P444" s="68"/>
      <x:c r="Q444" s="68"/>
      <x:c r="R444" s="68"/>
      <x:c r="S444" s="68"/>
      <x:c r="T444" s="68"/>
      <x:c r="U444" s="68"/>
      <x:c r="V444" s="68"/>
      <x:c r="W444" s="68"/>
      <x:c r="X444" s="68"/>
      <x:c r="Y444" s="68"/>
      <x:c r="Z444" s="68"/>
    </x:row>
    <x:row r="445">
      <x:c r="A445" s="68"/>
      <x:c r="B445" s="68"/>
      <x:c r="C445" s="68"/>
      <x:c r="D445" s="68"/>
      <x:c r="E445" s="68"/>
      <x:c r="F445" s="68"/>
      <x:c r="G445" s="68"/>
      <x:c r="H445" s="68"/>
      <x:c r="I445" s="68"/>
      <x:c r="J445" s="68"/>
      <x:c r="K445" s="68"/>
      <x:c r="L445" s="68"/>
      <x:c r="M445" s="68"/>
      <x:c r="N445" s="68"/>
      <x:c r="O445" s="68"/>
      <x:c r="P445" s="68"/>
      <x:c r="Q445" s="68"/>
      <x:c r="R445" s="68"/>
      <x:c r="S445" s="68"/>
      <x:c r="T445" s="68"/>
      <x:c r="U445" s="68"/>
      <x:c r="V445" s="68"/>
      <x:c r="W445" s="68"/>
      <x:c r="X445" s="68"/>
      <x:c r="Y445" s="68"/>
      <x:c r="Z445" s="68"/>
    </x:row>
    <x:row r="446">
      <x:c r="A446" s="68"/>
      <x:c r="B446" s="68"/>
      <x:c r="C446" s="68"/>
      <x:c r="D446" s="68"/>
      <x:c r="E446" s="68"/>
      <x:c r="F446" s="68"/>
      <x:c r="G446" s="68"/>
      <x:c r="H446" s="68"/>
      <x:c r="I446" s="68"/>
      <x:c r="J446" s="68"/>
      <x:c r="K446" s="68"/>
      <x:c r="L446" s="68"/>
      <x:c r="M446" s="68"/>
      <x:c r="N446" s="68"/>
      <x:c r="O446" s="68"/>
      <x:c r="P446" s="68"/>
      <x:c r="Q446" s="68"/>
      <x:c r="R446" s="68"/>
      <x:c r="S446" s="68"/>
      <x:c r="T446" s="68"/>
      <x:c r="U446" s="68"/>
      <x:c r="V446" s="68"/>
      <x:c r="W446" s="68"/>
      <x:c r="X446" s="68"/>
      <x:c r="Y446" s="68"/>
      <x:c r="Z446" s="68"/>
    </x:row>
    <x:row r="447">
      <x:c r="A447" s="68"/>
      <x:c r="B447" s="68"/>
      <x:c r="C447" s="68"/>
      <x:c r="D447" s="68"/>
      <x:c r="E447" s="68"/>
      <x:c r="F447" s="68"/>
      <x:c r="G447" s="68"/>
      <x:c r="H447" s="68"/>
      <x:c r="I447" s="68"/>
      <x:c r="J447" s="68"/>
      <x:c r="K447" s="68"/>
      <x:c r="L447" s="68"/>
      <x:c r="M447" s="68"/>
      <x:c r="N447" s="68"/>
      <x:c r="O447" s="68"/>
      <x:c r="P447" s="68"/>
      <x:c r="Q447" s="68"/>
      <x:c r="R447" s="68"/>
      <x:c r="S447" s="68"/>
      <x:c r="T447" s="68"/>
      <x:c r="U447" s="68"/>
      <x:c r="V447" s="68"/>
      <x:c r="W447" s="68"/>
      <x:c r="X447" s="68"/>
      <x:c r="Y447" s="68"/>
      <x:c r="Z447" s="68"/>
    </x:row>
    <x:row r="448">
      <x:c r="A448" s="68"/>
      <x:c r="B448" s="68"/>
      <x:c r="C448" s="68"/>
      <x:c r="D448" s="68"/>
      <x:c r="E448" s="68"/>
      <x:c r="F448" s="68"/>
      <x:c r="G448" s="68"/>
      <x:c r="H448" s="68"/>
      <x:c r="I448" s="68"/>
      <x:c r="J448" s="68"/>
      <x:c r="K448" s="68"/>
      <x:c r="L448" s="68"/>
      <x:c r="M448" s="68"/>
      <x:c r="N448" s="68"/>
      <x:c r="O448" s="68"/>
      <x:c r="P448" s="68"/>
      <x:c r="Q448" s="68"/>
      <x:c r="R448" s="68"/>
      <x:c r="S448" s="68"/>
      <x:c r="T448" s="68"/>
      <x:c r="U448" s="68"/>
      <x:c r="V448" s="68"/>
      <x:c r="W448" s="68"/>
      <x:c r="X448" s="68"/>
      <x:c r="Y448" s="68"/>
      <x:c r="Z448" s="68"/>
    </x:row>
    <x:row r="449">
      <x:c r="A449" s="68"/>
      <x:c r="B449" s="68"/>
      <x:c r="C449" s="68"/>
      <x:c r="D449" s="68"/>
      <x:c r="E449" s="68"/>
      <x:c r="F449" s="68"/>
      <x:c r="G449" s="68"/>
      <x:c r="H449" s="68"/>
      <x:c r="I449" s="68"/>
      <x:c r="J449" s="68"/>
      <x:c r="K449" s="68"/>
      <x:c r="L449" s="68"/>
      <x:c r="M449" s="68"/>
      <x:c r="N449" s="68"/>
      <x:c r="O449" s="68"/>
      <x:c r="P449" s="68"/>
      <x:c r="Q449" s="68"/>
      <x:c r="R449" s="68"/>
      <x:c r="S449" s="68"/>
      <x:c r="T449" s="68"/>
      <x:c r="U449" s="68"/>
      <x:c r="V449" s="68"/>
      <x:c r="W449" s="68"/>
      <x:c r="X449" s="68"/>
      <x:c r="Y449" s="68"/>
      <x:c r="Z449" s="68"/>
    </x:row>
    <x:row r="450">
      <x:c r="A450" s="68"/>
      <x:c r="B450" s="68"/>
      <x:c r="C450" s="68"/>
      <x:c r="D450" s="68"/>
      <x:c r="E450" s="68"/>
      <x:c r="F450" s="68"/>
      <x:c r="G450" s="68"/>
      <x:c r="H450" s="68"/>
      <x:c r="I450" s="68"/>
      <x:c r="J450" s="68"/>
      <x:c r="K450" s="68"/>
      <x:c r="L450" s="68"/>
      <x:c r="M450" s="68"/>
      <x:c r="N450" s="68"/>
      <x:c r="O450" s="68"/>
      <x:c r="P450" s="68"/>
      <x:c r="Q450" s="68"/>
      <x:c r="R450" s="68"/>
      <x:c r="S450" s="68"/>
      <x:c r="T450" s="68"/>
      <x:c r="U450" s="68"/>
      <x:c r="V450" s="68"/>
      <x:c r="W450" s="68"/>
      <x:c r="X450" s="68"/>
      <x:c r="Y450" s="68"/>
      <x:c r="Z450" s="68"/>
    </x:row>
    <x:row r="451">
      <x:c r="A451" s="68"/>
      <x:c r="B451" s="68"/>
      <x:c r="C451" s="68"/>
      <x:c r="D451" s="68"/>
      <x:c r="E451" s="68"/>
      <x:c r="F451" s="68"/>
      <x:c r="G451" s="68"/>
      <x:c r="H451" s="68"/>
      <x:c r="I451" s="68"/>
      <x:c r="J451" s="68"/>
      <x:c r="K451" s="68"/>
      <x:c r="L451" s="68"/>
      <x:c r="M451" s="68"/>
      <x:c r="N451" s="68"/>
      <x:c r="O451" s="68"/>
      <x:c r="P451" s="68"/>
      <x:c r="Q451" s="68"/>
      <x:c r="R451" s="68"/>
      <x:c r="S451" s="68"/>
      <x:c r="T451" s="68"/>
      <x:c r="U451" s="68"/>
      <x:c r="V451" s="68"/>
      <x:c r="W451" s="68"/>
      <x:c r="X451" s="68"/>
      <x:c r="Y451" s="68"/>
      <x:c r="Z451" s="68"/>
    </x:row>
    <x:row r="452">
      <x:c r="A452" s="68"/>
      <x:c r="B452" s="68"/>
      <x:c r="C452" s="68"/>
      <x:c r="D452" s="68"/>
      <x:c r="E452" s="68"/>
      <x:c r="F452" s="68"/>
      <x:c r="G452" s="68"/>
      <x:c r="H452" s="68"/>
      <x:c r="I452" s="68"/>
      <x:c r="J452" s="68"/>
      <x:c r="K452" s="68"/>
      <x:c r="L452" s="68"/>
      <x:c r="M452" s="68"/>
      <x:c r="N452" s="68"/>
      <x:c r="O452" s="68"/>
      <x:c r="P452" s="68"/>
      <x:c r="Q452" s="68"/>
      <x:c r="R452" s="68"/>
      <x:c r="S452" s="68"/>
      <x:c r="T452" s="68"/>
      <x:c r="U452" s="68"/>
      <x:c r="V452" s="68"/>
      <x:c r="W452" s="68"/>
      <x:c r="X452" s="68"/>
      <x:c r="Y452" s="68"/>
      <x:c r="Z452" s="68"/>
    </x:row>
    <x:row r="453">
      <x:c r="A453" s="68"/>
      <x:c r="B453" s="68"/>
      <x:c r="C453" s="68"/>
      <x:c r="D453" s="68"/>
      <x:c r="E453" s="68"/>
      <x:c r="F453" s="68"/>
      <x:c r="G453" s="68"/>
      <x:c r="H453" s="68"/>
      <x:c r="I453" s="68"/>
      <x:c r="J453" s="68"/>
      <x:c r="K453" s="68"/>
      <x:c r="L453" s="68"/>
      <x:c r="M453" s="68"/>
      <x:c r="N453" s="68"/>
      <x:c r="O453" s="68"/>
      <x:c r="P453" s="68"/>
      <x:c r="Q453" s="68"/>
      <x:c r="R453" s="68"/>
      <x:c r="S453" s="68"/>
      <x:c r="T453" s="68"/>
      <x:c r="U453" s="68"/>
      <x:c r="V453" s="68"/>
      <x:c r="W453" s="68"/>
      <x:c r="X453" s="68"/>
      <x:c r="Y453" s="68"/>
      <x:c r="Z453" s="68"/>
    </x:row>
    <x:row r="454">
      <x:c r="A454" s="68"/>
      <x:c r="B454" s="68"/>
      <x:c r="C454" s="68"/>
      <x:c r="D454" s="68"/>
      <x:c r="E454" s="68"/>
      <x:c r="F454" s="68"/>
      <x:c r="G454" s="68"/>
      <x:c r="H454" s="68"/>
      <x:c r="I454" s="68"/>
      <x:c r="J454" s="68"/>
      <x:c r="K454" s="68"/>
      <x:c r="L454" s="68"/>
      <x:c r="M454" s="68"/>
      <x:c r="N454" s="68"/>
      <x:c r="O454" s="68"/>
      <x:c r="P454" s="68"/>
      <x:c r="Q454" s="68"/>
      <x:c r="R454" s="68"/>
      <x:c r="S454" s="68"/>
      <x:c r="T454" s="68"/>
      <x:c r="U454" s="68"/>
      <x:c r="V454" s="68"/>
      <x:c r="W454" s="68"/>
      <x:c r="X454" s="68"/>
      <x:c r="Y454" s="68"/>
      <x:c r="Z454" s="68"/>
    </x:row>
    <x:row r="455">
      <x:c r="A455" s="68"/>
      <x:c r="B455" s="68"/>
      <x:c r="C455" s="68"/>
      <x:c r="D455" s="68"/>
      <x:c r="E455" s="68"/>
      <x:c r="F455" s="68"/>
      <x:c r="G455" s="68"/>
      <x:c r="H455" s="68"/>
      <x:c r="I455" s="68"/>
      <x:c r="J455" s="68"/>
      <x:c r="K455" s="68"/>
      <x:c r="L455" s="68"/>
      <x:c r="M455" s="68"/>
      <x:c r="N455" s="68"/>
      <x:c r="O455" s="68"/>
      <x:c r="P455" s="68"/>
      <x:c r="Q455" s="68"/>
      <x:c r="R455" s="68"/>
      <x:c r="S455" s="68"/>
      <x:c r="T455" s="68"/>
      <x:c r="U455" s="68"/>
      <x:c r="V455" s="68"/>
      <x:c r="W455" s="68"/>
      <x:c r="X455" s="68"/>
      <x:c r="Y455" s="68"/>
      <x:c r="Z455" s="68"/>
    </x:row>
    <x:row r="456">
      <x:c r="A456" s="68"/>
      <x:c r="B456" s="68"/>
      <x:c r="C456" s="68"/>
      <x:c r="D456" s="68"/>
      <x:c r="E456" s="68"/>
      <x:c r="F456" s="68"/>
      <x:c r="G456" s="68"/>
      <x:c r="H456" s="68"/>
      <x:c r="I456" s="68"/>
      <x:c r="J456" s="68"/>
      <x:c r="K456" s="68"/>
      <x:c r="L456" s="68"/>
      <x:c r="M456" s="68"/>
      <x:c r="N456" s="68"/>
      <x:c r="O456" s="68"/>
      <x:c r="P456" s="68"/>
      <x:c r="Q456" s="68"/>
      <x:c r="R456" s="68"/>
      <x:c r="S456" s="68"/>
      <x:c r="T456" s="68"/>
      <x:c r="U456" s="68"/>
      <x:c r="V456" s="68"/>
      <x:c r="W456" s="68"/>
      <x:c r="X456" s="68"/>
      <x:c r="Y456" s="68"/>
      <x:c r="Z456" s="68"/>
    </x:row>
    <x:row r="457">
      <x:c r="A457" s="68"/>
      <x:c r="B457" s="68"/>
      <x:c r="C457" s="68"/>
      <x:c r="D457" s="68"/>
      <x:c r="E457" s="68"/>
      <x:c r="F457" s="68"/>
      <x:c r="G457" s="68"/>
      <x:c r="H457" s="68"/>
      <x:c r="I457" s="68"/>
      <x:c r="J457" s="68"/>
      <x:c r="K457" s="68"/>
      <x:c r="L457" s="68"/>
      <x:c r="M457" s="68"/>
      <x:c r="N457" s="68"/>
      <x:c r="O457" s="68"/>
      <x:c r="P457" s="68"/>
      <x:c r="Q457" s="68"/>
      <x:c r="R457" s="68"/>
      <x:c r="S457" s="68"/>
      <x:c r="T457" s="68"/>
      <x:c r="U457" s="68"/>
      <x:c r="V457" s="68"/>
      <x:c r="W457" s="68"/>
      <x:c r="X457" s="68"/>
      <x:c r="Y457" s="68"/>
      <x:c r="Z457" s="68"/>
    </x:row>
    <x:row r="458">
      <x:c r="A458" s="68"/>
      <x:c r="B458" s="68"/>
      <x:c r="C458" s="68"/>
      <x:c r="D458" s="68"/>
      <x:c r="E458" s="68"/>
      <x:c r="F458" s="68"/>
      <x:c r="G458" s="68"/>
      <x:c r="H458" s="68"/>
      <x:c r="I458" s="68"/>
      <x:c r="J458" s="68"/>
      <x:c r="K458" s="68"/>
      <x:c r="L458" s="68"/>
      <x:c r="M458" s="68"/>
      <x:c r="N458" s="68"/>
      <x:c r="O458" s="68"/>
      <x:c r="P458" s="68"/>
      <x:c r="Q458" s="68"/>
      <x:c r="R458" s="68"/>
      <x:c r="S458" s="68"/>
      <x:c r="T458" s="68"/>
      <x:c r="U458" s="68"/>
      <x:c r="V458" s="68"/>
      <x:c r="W458" s="68"/>
      <x:c r="X458" s="68"/>
      <x:c r="Y458" s="68"/>
      <x:c r="Z458" s="68"/>
    </x:row>
    <x:row r="459">
      <x:c r="A459" s="68"/>
      <x:c r="B459" s="68"/>
      <x:c r="C459" s="68"/>
      <x:c r="D459" s="68"/>
      <x:c r="E459" s="68"/>
      <x:c r="F459" s="68"/>
      <x:c r="G459" s="68"/>
      <x:c r="H459" s="68"/>
      <x:c r="I459" s="68"/>
      <x:c r="J459" s="68"/>
      <x:c r="K459" s="68"/>
      <x:c r="L459" s="68"/>
      <x:c r="M459" s="68"/>
      <x:c r="N459" s="68"/>
      <x:c r="O459" s="68"/>
      <x:c r="P459" s="68"/>
      <x:c r="Q459" s="68"/>
      <x:c r="R459" s="68"/>
      <x:c r="S459" s="68"/>
      <x:c r="T459" s="68"/>
      <x:c r="U459" s="68"/>
      <x:c r="V459" s="68"/>
      <x:c r="W459" s="68"/>
      <x:c r="X459" s="68"/>
      <x:c r="Y459" s="68"/>
      <x:c r="Z459" s="68"/>
    </x:row>
    <x:row r="460">
      <x:c r="A460" s="68"/>
      <x:c r="B460" s="68"/>
      <x:c r="C460" s="68"/>
      <x:c r="D460" s="68"/>
      <x:c r="E460" s="68"/>
      <x:c r="F460" s="68"/>
      <x:c r="G460" s="68"/>
      <x:c r="H460" s="68"/>
      <x:c r="I460" s="68"/>
      <x:c r="J460" s="68"/>
      <x:c r="K460" s="68"/>
      <x:c r="L460" s="68"/>
      <x:c r="M460" s="68"/>
      <x:c r="N460" s="68"/>
      <x:c r="O460" s="68"/>
      <x:c r="P460" s="68"/>
      <x:c r="Q460" s="68"/>
      <x:c r="R460" s="68"/>
      <x:c r="S460" s="68"/>
      <x:c r="T460" s="68"/>
      <x:c r="U460" s="68"/>
      <x:c r="V460" s="68"/>
      <x:c r="W460" s="68"/>
      <x:c r="X460" s="68"/>
      <x:c r="Y460" s="68"/>
      <x:c r="Z460" s="68"/>
    </x:row>
    <x:row r="461">
      <x:c r="A461" s="68"/>
      <x:c r="B461" s="68"/>
      <x:c r="C461" s="68"/>
      <x:c r="D461" s="68"/>
      <x:c r="E461" s="68"/>
      <x:c r="F461" s="68"/>
      <x:c r="G461" s="68"/>
      <x:c r="H461" s="68"/>
      <x:c r="I461" s="68"/>
      <x:c r="J461" s="68"/>
      <x:c r="K461" s="68"/>
      <x:c r="L461" s="68"/>
      <x:c r="M461" s="68"/>
      <x:c r="N461" s="68"/>
      <x:c r="O461" s="68"/>
      <x:c r="P461" s="68"/>
      <x:c r="Q461" s="68"/>
      <x:c r="R461" s="68"/>
      <x:c r="S461" s="68"/>
      <x:c r="T461" s="68"/>
      <x:c r="U461" s="68"/>
      <x:c r="V461" s="68"/>
      <x:c r="W461" s="68"/>
      <x:c r="X461" s="68"/>
      <x:c r="Y461" s="68"/>
      <x:c r="Z461" s="68"/>
    </x:row>
    <x:row r="462">
      <x:c r="A462" s="68"/>
      <x:c r="B462" s="68"/>
      <x:c r="C462" s="68"/>
      <x:c r="D462" s="68"/>
      <x:c r="E462" s="68"/>
      <x:c r="F462" s="68"/>
      <x:c r="G462" s="68"/>
      <x:c r="H462" s="68"/>
      <x:c r="I462" s="68"/>
      <x:c r="J462" s="68"/>
      <x:c r="K462" s="68"/>
      <x:c r="L462" s="68"/>
      <x:c r="M462" s="68"/>
      <x:c r="N462" s="68"/>
      <x:c r="O462" s="68"/>
      <x:c r="P462" s="68"/>
      <x:c r="Q462" s="68"/>
      <x:c r="R462" s="68"/>
      <x:c r="S462" s="68"/>
      <x:c r="T462" s="68"/>
      <x:c r="U462" s="68"/>
      <x:c r="V462" s="68"/>
      <x:c r="W462" s="68"/>
      <x:c r="X462" s="68"/>
      <x:c r="Y462" s="68"/>
      <x:c r="Z462" s="68"/>
    </x:row>
    <x:row r="463">
      <x:c r="A463" s="68"/>
      <x:c r="B463" s="68"/>
      <x:c r="C463" s="68"/>
      <x:c r="D463" s="68"/>
      <x:c r="E463" s="68"/>
      <x:c r="F463" s="68"/>
      <x:c r="G463" s="68"/>
      <x:c r="H463" s="68"/>
      <x:c r="I463" s="68"/>
      <x:c r="J463" s="68"/>
      <x:c r="K463" s="68"/>
      <x:c r="L463" s="68"/>
      <x:c r="M463" s="68"/>
      <x:c r="N463" s="68"/>
      <x:c r="O463" s="68"/>
      <x:c r="P463" s="68"/>
      <x:c r="Q463" s="68"/>
      <x:c r="R463" s="68"/>
      <x:c r="S463" s="68"/>
      <x:c r="T463" s="68"/>
      <x:c r="U463" s="68"/>
      <x:c r="V463" s="68"/>
      <x:c r="W463" s="68"/>
      <x:c r="X463" s="68"/>
      <x:c r="Y463" s="68"/>
      <x:c r="Z463" s="68"/>
    </x:row>
    <x:row r="464">
      <x:c r="A464" s="68"/>
      <x:c r="B464" s="68"/>
      <x:c r="C464" s="68"/>
      <x:c r="D464" s="68"/>
      <x:c r="E464" s="68"/>
      <x:c r="F464" s="68"/>
      <x:c r="G464" s="68"/>
      <x:c r="H464" s="68"/>
      <x:c r="I464" s="68"/>
      <x:c r="J464" s="68"/>
      <x:c r="K464" s="68"/>
      <x:c r="L464" s="68"/>
      <x:c r="M464" s="68"/>
      <x:c r="N464" s="68"/>
      <x:c r="O464" s="68"/>
      <x:c r="P464" s="68"/>
      <x:c r="Q464" s="68"/>
      <x:c r="R464" s="68"/>
      <x:c r="S464" s="68"/>
      <x:c r="T464" s="68"/>
      <x:c r="U464" s="68"/>
      <x:c r="V464" s="68"/>
      <x:c r="W464" s="68"/>
      <x:c r="X464" s="68"/>
      <x:c r="Y464" s="68"/>
      <x:c r="Z464" s="68"/>
    </x:row>
    <x:row r="465">
      <x:c r="A465" s="68"/>
      <x:c r="B465" s="68"/>
      <x:c r="C465" s="68"/>
      <x:c r="D465" s="68"/>
      <x:c r="E465" s="68"/>
      <x:c r="F465" s="68"/>
      <x:c r="G465" s="68"/>
      <x:c r="H465" s="68"/>
      <x:c r="I465" s="68"/>
      <x:c r="J465" s="68"/>
      <x:c r="K465" s="68"/>
      <x:c r="L465" s="68"/>
      <x:c r="M465" s="68"/>
      <x:c r="N465" s="68"/>
      <x:c r="O465" s="68"/>
      <x:c r="P465" s="68"/>
      <x:c r="Q465" s="68"/>
      <x:c r="R465" s="68"/>
      <x:c r="S465" s="68"/>
      <x:c r="T465" s="68"/>
      <x:c r="U465" s="68"/>
      <x:c r="V465" s="68"/>
      <x:c r="W465" s="68"/>
      <x:c r="X465" s="68"/>
      <x:c r="Y465" s="68"/>
      <x:c r="Z465" s="68"/>
    </x:row>
    <x:row r="466">
      <x:c r="A466" s="68"/>
      <x:c r="B466" s="68"/>
      <x:c r="C466" s="68"/>
      <x:c r="D466" s="68"/>
      <x:c r="E466" s="68"/>
      <x:c r="F466" s="68"/>
      <x:c r="G466" s="68"/>
      <x:c r="H466" s="68"/>
      <x:c r="I466" s="68"/>
      <x:c r="J466" s="68"/>
      <x:c r="K466" s="68"/>
      <x:c r="L466" s="68"/>
      <x:c r="M466" s="68"/>
      <x:c r="N466" s="68"/>
      <x:c r="O466" s="68"/>
      <x:c r="P466" s="68"/>
      <x:c r="Q466" s="68"/>
      <x:c r="R466" s="68"/>
      <x:c r="S466" s="68"/>
      <x:c r="T466" s="68"/>
      <x:c r="U466" s="68"/>
      <x:c r="V466" s="68"/>
      <x:c r="W466" s="68"/>
      <x:c r="X466" s="68"/>
      <x:c r="Y466" s="68"/>
      <x:c r="Z466" s="68"/>
    </x:row>
    <x:row r="467">
      <x:c r="A467" s="68"/>
      <x:c r="B467" s="68"/>
      <x:c r="C467" s="68"/>
      <x:c r="D467" s="68"/>
      <x:c r="E467" s="68"/>
      <x:c r="F467" s="68"/>
      <x:c r="G467" s="68"/>
      <x:c r="H467" s="68"/>
      <x:c r="I467" s="68"/>
      <x:c r="J467" s="68"/>
      <x:c r="K467" s="68"/>
      <x:c r="L467" s="68"/>
      <x:c r="M467" s="68"/>
      <x:c r="N467" s="68"/>
      <x:c r="O467" s="68"/>
      <x:c r="P467" s="68"/>
      <x:c r="Q467" s="68"/>
      <x:c r="R467" s="68"/>
      <x:c r="S467" s="68"/>
      <x:c r="T467" s="68"/>
      <x:c r="U467" s="68"/>
      <x:c r="V467" s="68"/>
      <x:c r="W467" s="68"/>
      <x:c r="X467" s="68"/>
      <x:c r="Y467" s="68"/>
      <x:c r="Z467" s="68"/>
    </x:row>
    <x:row r="468">
      <x:c r="A468" s="68"/>
      <x:c r="B468" s="68"/>
      <x:c r="C468" s="68"/>
      <x:c r="D468" s="68"/>
      <x:c r="E468" s="68"/>
      <x:c r="F468" s="68"/>
      <x:c r="G468" s="68"/>
      <x:c r="H468" s="68"/>
      <x:c r="I468" s="68"/>
      <x:c r="J468" s="68"/>
      <x:c r="K468" s="68"/>
      <x:c r="L468" s="68"/>
      <x:c r="M468" s="68"/>
      <x:c r="N468" s="68"/>
      <x:c r="O468" s="68"/>
      <x:c r="P468" s="68"/>
      <x:c r="Q468" s="68"/>
      <x:c r="R468" s="68"/>
      <x:c r="S468" s="68"/>
      <x:c r="T468" s="68"/>
      <x:c r="U468" s="68"/>
      <x:c r="V468" s="68"/>
      <x:c r="W468" s="68"/>
      <x:c r="X468" s="68"/>
      <x:c r="Y468" s="68"/>
      <x:c r="Z468" s="68"/>
    </x:row>
    <x:row r="469">
      <x:c r="A469" s="68"/>
      <x:c r="B469" s="68"/>
      <x:c r="C469" s="68"/>
      <x:c r="D469" s="68"/>
      <x:c r="E469" s="68"/>
      <x:c r="F469" s="68"/>
      <x:c r="G469" s="68"/>
      <x:c r="H469" s="68"/>
      <x:c r="I469" s="68"/>
      <x:c r="J469" s="68"/>
      <x:c r="K469" s="68"/>
      <x:c r="L469" s="68"/>
      <x:c r="M469" s="68"/>
      <x:c r="N469" s="68"/>
      <x:c r="O469" s="68"/>
      <x:c r="P469" s="68"/>
      <x:c r="Q469" s="68"/>
      <x:c r="R469" s="68"/>
      <x:c r="S469" s="68"/>
      <x:c r="T469" s="68"/>
      <x:c r="U469" s="68"/>
      <x:c r="V469" s="68"/>
      <x:c r="W469" s="68"/>
      <x:c r="X469" s="68"/>
      <x:c r="Y469" s="68"/>
      <x:c r="Z469" s="68"/>
    </x:row>
    <x:row r="470">
      <x:c r="A470" s="68"/>
      <x:c r="B470" s="68"/>
      <x:c r="C470" s="68"/>
      <x:c r="D470" s="68"/>
      <x:c r="E470" s="68"/>
      <x:c r="F470" s="68"/>
      <x:c r="G470" s="68"/>
      <x:c r="H470" s="68"/>
      <x:c r="I470" s="68"/>
      <x:c r="J470" s="68"/>
      <x:c r="K470" s="68"/>
      <x:c r="L470" s="68"/>
      <x:c r="M470" s="68"/>
      <x:c r="N470" s="68"/>
      <x:c r="O470" s="68"/>
      <x:c r="P470" s="68"/>
      <x:c r="Q470" s="68"/>
      <x:c r="R470" s="68"/>
      <x:c r="S470" s="68"/>
      <x:c r="T470" s="68"/>
      <x:c r="U470" s="68"/>
      <x:c r="V470" s="68"/>
      <x:c r="W470" s="68"/>
      <x:c r="X470" s="68"/>
      <x:c r="Y470" s="68"/>
      <x:c r="Z470" s="68"/>
    </x:row>
    <x:row r="471">
      <x:c r="A471" s="68"/>
      <x:c r="B471" s="68"/>
      <x:c r="C471" s="68"/>
      <x:c r="D471" s="68"/>
      <x:c r="E471" s="68"/>
      <x:c r="F471" s="68"/>
      <x:c r="G471" s="68"/>
      <x:c r="H471" s="68"/>
      <x:c r="I471" s="68"/>
      <x:c r="J471" s="68"/>
      <x:c r="K471" s="68"/>
      <x:c r="L471" s="68"/>
      <x:c r="M471" s="68"/>
      <x:c r="N471" s="68"/>
      <x:c r="O471" s="68"/>
      <x:c r="P471" s="68"/>
      <x:c r="Q471" s="68"/>
      <x:c r="R471" s="68"/>
      <x:c r="S471" s="68"/>
      <x:c r="T471" s="68"/>
      <x:c r="U471" s="68"/>
      <x:c r="V471" s="68"/>
      <x:c r="W471" s="68"/>
      <x:c r="X471" s="68"/>
      <x:c r="Y471" s="68"/>
      <x:c r="Z471" s="68"/>
    </x:row>
    <x:row r="472">
      <x:c r="A472" s="68"/>
      <x:c r="B472" s="68"/>
      <x:c r="C472" s="68"/>
      <x:c r="D472" s="68"/>
      <x:c r="E472" s="68"/>
      <x:c r="F472" s="68"/>
      <x:c r="G472" s="68"/>
      <x:c r="H472" s="68"/>
      <x:c r="I472" s="68"/>
      <x:c r="J472" s="68"/>
      <x:c r="K472" s="68"/>
      <x:c r="L472" s="68"/>
      <x:c r="M472" s="68"/>
      <x:c r="N472" s="68"/>
      <x:c r="O472" s="68"/>
      <x:c r="P472" s="68"/>
      <x:c r="Q472" s="68"/>
      <x:c r="R472" s="68"/>
      <x:c r="S472" s="68"/>
      <x:c r="T472" s="68"/>
      <x:c r="U472" s="68"/>
      <x:c r="V472" s="68"/>
      <x:c r="W472" s="68"/>
      <x:c r="X472" s="68"/>
      <x:c r="Y472" s="68"/>
      <x:c r="Z472" s="68"/>
    </x:row>
    <x:row r="473">
      <x:c r="A473" s="68"/>
      <x:c r="B473" s="68"/>
      <x:c r="C473" s="68"/>
      <x:c r="D473" s="68"/>
      <x:c r="E473" s="68"/>
      <x:c r="F473" s="68"/>
      <x:c r="G473" s="68"/>
      <x:c r="H473" s="68"/>
      <x:c r="I473" s="68"/>
      <x:c r="J473" s="68"/>
      <x:c r="K473" s="68"/>
      <x:c r="L473" s="68"/>
      <x:c r="M473" s="68"/>
      <x:c r="N473" s="68"/>
      <x:c r="O473" s="68"/>
      <x:c r="P473" s="68"/>
      <x:c r="Q473" s="68"/>
      <x:c r="R473" s="68"/>
      <x:c r="S473" s="68"/>
      <x:c r="T473" s="68"/>
      <x:c r="U473" s="68"/>
      <x:c r="V473" s="68"/>
      <x:c r="W473" s="68"/>
      <x:c r="X473" s="68"/>
      <x:c r="Y473" s="68"/>
      <x:c r="Z473" s="68"/>
    </x:row>
    <x:row r="474">
      <x:c r="A474" s="68"/>
      <x:c r="B474" s="68"/>
      <x:c r="C474" s="68"/>
      <x:c r="D474" s="68"/>
      <x:c r="E474" s="68"/>
      <x:c r="F474" s="68"/>
      <x:c r="G474" s="68"/>
      <x:c r="H474" s="68"/>
      <x:c r="I474" s="68"/>
      <x:c r="J474" s="68"/>
      <x:c r="K474" s="68"/>
      <x:c r="L474" s="68"/>
      <x:c r="M474" s="68"/>
      <x:c r="N474" s="68"/>
      <x:c r="O474" s="68"/>
      <x:c r="P474" s="68"/>
      <x:c r="Q474" s="68"/>
      <x:c r="R474" s="68"/>
      <x:c r="S474" s="68"/>
      <x:c r="T474" s="68"/>
      <x:c r="U474" s="68"/>
      <x:c r="V474" s="68"/>
      <x:c r="W474" s="68"/>
      <x:c r="X474" s="68"/>
      <x:c r="Y474" s="68"/>
      <x:c r="Z474" s="68"/>
    </x:row>
    <x:row r="475">
      <x:c r="A475" s="68"/>
      <x:c r="B475" s="68"/>
      <x:c r="C475" s="68"/>
      <x:c r="D475" s="68"/>
      <x:c r="E475" s="68"/>
      <x:c r="F475" s="68"/>
      <x:c r="G475" s="68"/>
      <x:c r="H475" s="68"/>
      <x:c r="I475" s="68"/>
      <x:c r="J475" s="68"/>
      <x:c r="K475" s="68"/>
      <x:c r="L475" s="68"/>
      <x:c r="M475" s="68"/>
      <x:c r="N475" s="68"/>
      <x:c r="O475" s="68"/>
      <x:c r="P475" s="68"/>
      <x:c r="Q475" s="68"/>
      <x:c r="R475" s="68"/>
      <x:c r="S475" s="68"/>
      <x:c r="T475" s="68"/>
      <x:c r="U475" s="68"/>
      <x:c r="V475" s="68"/>
      <x:c r="W475" s="68"/>
      <x:c r="X475" s="68"/>
      <x:c r="Y475" s="68"/>
      <x:c r="Z475" s="68"/>
    </x:row>
    <x:row r="476">
      <x:c r="A476" s="68"/>
      <x:c r="B476" s="68"/>
      <x:c r="C476" s="68"/>
      <x:c r="D476" s="68"/>
      <x:c r="E476" s="68"/>
      <x:c r="F476" s="68"/>
      <x:c r="G476" s="68"/>
      <x:c r="H476" s="68"/>
      <x:c r="I476" s="68"/>
      <x:c r="J476" s="68"/>
      <x:c r="K476" s="68"/>
      <x:c r="L476" s="68"/>
      <x:c r="M476" s="68"/>
      <x:c r="N476" s="68"/>
      <x:c r="O476" s="68"/>
      <x:c r="P476" s="68"/>
      <x:c r="Q476" s="68"/>
      <x:c r="R476" s="68"/>
      <x:c r="S476" s="68"/>
      <x:c r="T476" s="68"/>
      <x:c r="U476" s="68"/>
      <x:c r="V476" s="68"/>
      <x:c r="W476" s="68"/>
      <x:c r="X476" s="68"/>
      <x:c r="Y476" s="68"/>
      <x:c r="Z476" s="68"/>
    </x:row>
    <x:row r="477">
      <x:c r="A477" s="68"/>
      <x:c r="B477" s="68"/>
      <x:c r="C477" s="68"/>
      <x:c r="D477" s="68"/>
      <x:c r="E477" s="68"/>
      <x:c r="F477" s="68"/>
      <x:c r="G477" s="68"/>
      <x:c r="H477" s="68"/>
      <x:c r="I477" s="68"/>
      <x:c r="J477" s="68"/>
      <x:c r="K477" s="68"/>
      <x:c r="L477" s="68"/>
      <x:c r="M477" s="68"/>
      <x:c r="N477" s="68"/>
      <x:c r="O477" s="68"/>
      <x:c r="P477" s="68"/>
      <x:c r="Q477" s="68"/>
      <x:c r="R477" s="68"/>
      <x:c r="S477" s="68"/>
      <x:c r="T477" s="68"/>
      <x:c r="U477" s="68"/>
      <x:c r="V477" s="68"/>
      <x:c r="W477" s="68"/>
      <x:c r="X477" s="68"/>
      <x:c r="Y477" s="68"/>
      <x:c r="Z477" s="68"/>
    </x:row>
    <x:row r="478">
      <x:c r="A478" s="68"/>
      <x:c r="B478" s="68"/>
      <x:c r="C478" s="68"/>
      <x:c r="D478" s="68"/>
      <x:c r="E478" s="68"/>
      <x:c r="F478" s="68"/>
      <x:c r="G478" s="68"/>
      <x:c r="H478" s="68"/>
      <x:c r="I478" s="68"/>
      <x:c r="J478" s="68"/>
      <x:c r="K478" s="68"/>
      <x:c r="L478" s="68"/>
      <x:c r="M478" s="68"/>
      <x:c r="N478" s="68"/>
      <x:c r="O478" s="68"/>
      <x:c r="P478" s="68"/>
      <x:c r="Q478" s="68"/>
      <x:c r="R478" s="68"/>
      <x:c r="S478" s="68"/>
      <x:c r="T478" s="68"/>
      <x:c r="U478" s="68"/>
      <x:c r="V478" s="68"/>
      <x:c r="W478" s="68"/>
      <x:c r="X478" s="68"/>
      <x:c r="Y478" s="68"/>
      <x:c r="Z478" s="68"/>
    </x:row>
    <x:row r="479">
      <x:c r="A479" s="68"/>
      <x:c r="B479" s="68"/>
      <x:c r="C479" s="68"/>
      <x:c r="D479" s="68"/>
      <x:c r="E479" s="68"/>
      <x:c r="F479" s="68"/>
      <x:c r="G479" s="68"/>
      <x:c r="H479" s="68"/>
      <x:c r="I479" s="68"/>
      <x:c r="J479" s="68"/>
      <x:c r="K479" s="68"/>
      <x:c r="L479" s="68"/>
      <x:c r="M479" s="68"/>
      <x:c r="N479" s="68"/>
      <x:c r="O479" s="68"/>
      <x:c r="P479" s="68"/>
      <x:c r="Q479" s="68"/>
      <x:c r="R479" s="68"/>
      <x:c r="S479" s="68"/>
      <x:c r="T479" s="68"/>
      <x:c r="U479" s="68"/>
      <x:c r="V479" s="68"/>
      <x:c r="W479" s="68"/>
      <x:c r="X479" s="68"/>
      <x:c r="Y479" s="68"/>
      <x:c r="Z479" s="68"/>
    </x:row>
    <x:row r="480">
      <x:c r="A480" s="68"/>
      <x:c r="B480" s="68"/>
      <x:c r="C480" s="68"/>
      <x:c r="D480" s="68"/>
      <x:c r="E480" s="68"/>
      <x:c r="F480" s="68"/>
      <x:c r="G480" s="68"/>
      <x:c r="H480" s="68"/>
      <x:c r="I480" s="68"/>
      <x:c r="J480" s="68"/>
      <x:c r="K480" s="68"/>
      <x:c r="L480" s="68"/>
      <x:c r="M480" s="68"/>
      <x:c r="N480" s="68"/>
      <x:c r="O480" s="68"/>
      <x:c r="P480" s="68"/>
      <x:c r="Q480" s="68"/>
      <x:c r="R480" s="68"/>
      <x:c r="S480" s="68"/>
      <x:c r="T480" s="68"/>
      <x:c r="U480" s="68"/>
      <x:c r="V480" s="68"/>
      <x:c r="W480" s="68"/>
      <x:c r="X480" s="68"/>
      <x:c r="Y480" s="68"/>
      <x:c r="Z480" s="68"/>
    </x:row>
    <x:row r="481">
      <x:c r="A481" s="68"/>
      <x:c r="B481" s="68"/>
      <x:c r="C481" s="68"/>
      <x:c r="D481" s="68"/>
      <x:c r="E481" s="68"/>
      <x:c r="F481" s="68"/>
      <x:c r="G481" s="68"/>
      <x:c r="H481" s="68"/>
      <x:c r="I481" s="68"/>
      <x:c r="J481" s="68"/>
      <x:c r="K481" s="68"/>
      <x:c r="L481" s="68"/>
      <x:c r="M481" s="68"/>
      <x:c r="N481" s="68"/>
      <x:c r="O481" s="68"/>
      <x:c r="P481" s="68"/>
      <x:c r="Q481" s="68"/>
      <x:c r="R481" s="68"/>
      <x:c r="S481" s="68"/>
      <x:c r="T481" s="68"/>
      <x:c r="U481" s="68"/>
      <x:c r="V481" s="68"/>
      <x:c r="W481" s="68"/>
      <x:c r="X481" s="68"/>
      <x:c r="Y481" s="68"/>
      <x:c r="Z481" s="68"/>
    </x:row>
    <x:row r="482">
      <x:c r="A482" s="68"/>
      <x:c r="B482" s="68"/>
      <x:c r="C482" s="68"/>
      <x:c r="D482" s="68"/>
      <x:c r="E482" s="68"/>
      <x:c r="F482" s="68"/>
      <x:c r="G482" s="68"/>
      <x:c r="H482" s="68"/>
      <x:c r="I482" s="68"/>
      <x:c r="J482" s="68"/>
      <x:c r="K482" s="68"/>
      <x:c r="L482" s="68"/>
      <x:c r="M482" s="68"/>
      <x:c r="N482" s="68"/>
      <x:c r="O482" s="68"/>
      <x:c r="P482" s="68"/>
      <x:c r="Q482" s="68"/>
      <x:c r="R482" s="68"/>
      <x:c r="S482" s="68"/>
      <x:c r="T482" s="68"/>
      <x:c r="U482" s="68"/>
      <x:c r="V482" s="68"/>
      <x:c r="W482" s="68"/>
      <x:c r="X482" s="68"/>
      <x:c r="Y482" s="68"/>
      <x:c r="Z482" s="68"/>
    </x:row>
    <x:row r="483">
      <x:c r="A483" s="68"/>
      <x:c r="B483" s="68"/>
      <x:c r="C483" s="68"/>
      <x:c r="D483" s="68"/>
      <x:c r="E483" s="68"/>
      <x:c r="F483" s="68"/>
      <x:c r="G483" s="68"/>
      <x:c r="H483" s="68"/>
      <x:c r="I483" s="68"/>
      <x:c r="J483" s="68"/>
      <x:c r="K483" s="68"/>
      <x:c r="L483" s="68"/>
      <x:c r="M483" s="68"/>
      <x:c r="N483" s="68"/>
      <x:c r="O483" s="68"/>
      <x:c r="P483" s="68"/>
      <x:c r="Q483" s="68"/>
      <x:c r="R483" s="68"/>
      <x:c r="S483" s="68"/>
      <x:c r="T483" s="68"/>
      <x:c r="U483" s="68"/>
      <x:c r="V483" s="68"/>
      <x:c r="W483" s="68"/>
      <x:c r="X483" s="68"/>
      <x:c r="Y483" s="68"/>
      <x:c r="Z483" s="68"/>
    </x:row>
    <x:row r="484">
      <x:c r="A484" s="68"/>
      <x:c r="B484" s="68"/>
      <x:c r="C484" s="68"/>
      <x:c r="D484" s="68"/>
      <x:c r="E484" s="68"/>
      <x:c r="F484" s="68"/>
      <x:c r="G484" s="68"/>
      <x:c r="H484" s="68"/>
      <x:c r="I484" s="68"/>
      <x:c r="J484" s="68"/>
      <x:c r="K484" s="68"/>
      <x:c r="L484" s="68"/>
      <x:c r="M484" s="68"/>
      <x:c r="N484" s="68"/>
      <x:c r="O484" s="68"/>
      <x:c r="P484" s="68"/>
      <x:c r="Q484" s="68"/>
      <x:c r="R484" s="68"/>
      <x:c r="S484" s="68"/>
      <x:c r="T484" s="68"/>
      <x:c r="U484" s="68"/>
      <x:c r="V484" s="68"/>
      <x:c r="W484" s="68"/>
      <x:c r="X484" s="68"/>
      <x:c r="Y484" s="68"/>
      <x:c r="Z484" s="68"/>
    </x:row>
    <x:row r="485">
      <x:c r="A485" s="68"/>
      <x:c r="B485" s="68"/>
      <x:c r="C485" s="68"/>
      <x:c r="D485" s="68"/>
      <x:c r="E485" s="68"/>
      <x:c r="F485" s="68"/>
      <x:c r="G485" s="68"/>
      <x:c r="H485" s="68"/>
      <x:c r="I485" s="68"/>
      <x:c r="J485" s="68"/>
      <x:c r="K485" s="68"/>
      <x:c r="L485" s="68"/>
      <x:c r="M485" s="68"/>
      <x:c r="N485" s="68"/>
      <x:c r="O485" s="68"/>
      <x:c r="P485" s="68"/>
      <x:c r="Q485" s="68"/>
      <x:c r="R485" s="68"/>
      <x:c r="S485" s="68"/>
      <x:c r="T485" s="68"/>
      <x:c r="U485" s="68"/>
      <x:c r="V485" s="68"/>
      <x:c r="W485" s="68"/>
      <x:c r="X485" s="68"/>
      <x:c r="Y485" s="68"/>
      <x:c r="Z485" s="68"/>
    </x:row>
    <x:row r="486">
      <x:c r="A486" s="68"/>
      <x:c r="B486" s="68"/>
      <x:c r="C486" s="68"/>
      <x:c r="D486" s="68"/>
      <x:c r="E486" s="68"/>
      <x:c r="F486" s="68"/>
      <x:c r="G486" s="68"/>
      <x:c r="H486" s="68"/>
      <x:c r="I486" s="68"/>
      <x:c r="J486" s="68"/>
      <x:c r="K486" s="68"/>
      <x:c r="L486" s="68"/>
      <x:c r="M486" s="68"/>
      <x:c r="N486" s="68"/>
      <x:c r="O486" s="68"/>
      <x:c r="P486" s="68"/>
      <x:c r="Q486" s="68"/>
      <x:c r="R486" s="68"/>
      <x:c r="S486" s="68"/>
      <x:c r="T486" s="68"/>
      <x:c r="U486" s="68"/>
      <x:c r="V486" s="68"/>
      <x:c r="W486" s="68"/>
      <x:c r="X486" s="68"/>
      <x:c r="Y486" s="68"/>
      <x:c r="Z486" s="68"/>
    </x:row>
    <x:row r="487">
      <x:c r="A487" s="68"/>
      <x:c r="B487" s="68"/>
      <x:c r="C487" s="68"/>
      <x:c r="D487" s="68"/>
      <x:c r="E487" s="68"/>
      <x:c r="F487" s="68"/>
      <x:c r="G487" s="68"/>
      <x:c r="H487" s="68"/>
      <x:c r="I487" s="68"/>
      <x:c r="J487" s="68"/>
      <x:c r="K487" s="68"/>
      <x:c r="L487" s="68"/>
      <x:c r="M487" s="68"/>
      <x:c r="N487" s="68"/>
      <x:c r="O487" s="68"/>
      <x:c r="P487" s="68"/>
      <x:c r="Q487" s="68"/>
      <x:c r="R487" s="68"/>
      <x:c r="S487" s="68"/>
      <x:c r="T487" s="68"/>
      <x:c r="U487" s="68"/>
      <x:c r="V487" s="68"/>
      <x:c r="W487" s="68"/>
      <x:c r="X487" s="68"/>
      <x:c r="Y487" s="68"/>
      <x:c r="Z487" s="68"/>
    </x:row>
    <x:row r="488">
      <x:c r="A488" s="68"/>
      <x:c r="B488" s="68"/>
      <x:c r="C488" s="68"/>
      <x:c r="D488" s="68"/>
      <x:c r="E488" s="68"/>
      <x:c r="F488" s="68"/>
      <x:c r="G488" s="68"/>
      <x:c r="H488" s="68"/>
      <x:c r="I488" s="68"/>
      <x:c r="J488" s="68"/>
      <x:c r="K488" s="68"/>
      <x:c r="L488" s="68"/>
      <x:c r="M488" s="68"/>
      <x:c r="N488" s="68"/>
      <x:c r="O488" s="68"/>
      <x:c r="P488" s="68"/>
      <x:c r="Q488" s="68"/>
      <x:c r="R488" s="68"/>
      <x:c r="S488" s="68"/>
      <x:c r="T488" s="68"/>
      <x:c r="U488" s="68"/>
      <x:c r="V488" s="68"/>
      <x:c r="W488" s="68"/>
      <x:c r="X488" s="68"/>
      <x:c r="Y488" s="68"/>
      <x:c r="Z488" s="68"/>
    </x:row>
    <x:row r="489">
      <x:c r="A489" s="68"/>
      <x:c r="B489" s="68"/>
      <x:c r="C489" s="68"/>
      <x:c r="D489" s="68"/>
      <x:c r="E489" s="68"/>
      <x:c r="F489" s="68"/>
      <x:c r="G489" s="68"/>
      <x:c r="H489" s="68"/>
      <x:c r="I489" s="68"/>
      <x:c r="J489" s="68"/>
      <x:c r="K489" s="68"/>
      <x:c r="L489" s="68"/>
      <x:c r="M489" s="68"/>
      <x:c r="N489" s="68"/>
      <x:c r="O489" s="68"/>
      <x:c r="P489" s="68"/>
      <x:c r="Q489" s="68"/>
      <x:c r="R489" s="68"/>
      <x:c r="S489" s="68"/>
      <x:c r="T489" s="68"/>
      <x:c r="U489" s="68"/>
      <x:c r="V489" s="68"/>
      <x:c r="W489" s="68"/>
      <x:c r="X489" s="68"/>
      <x:c r="Y489" s="68"/>
      <x:c r="Z489" s="68"/>
    </x:row>
    <x:row r="490">
      <x:c r="A490" s="68"/>
      <x:c r="B490" s="68"/>
      <x:c r="C490" s="68"/>
      <x:c r="D490" s="68"/>
      <x:c r="E490" s="68"/>
      <x:c r="F490" s="68"/>
      <x:c r="G490" s="68"/>
      <x:c r="H490" s="68"/>
      <x:c r="I490" s="68"/>
      <x:c r="J490" s="68"/>
      <x:c r="K490" s="68"/>
      <x:c r="L490" s="68"/>
      <x:c r="M490" s="68"/>
      <x:c r="N490" s="68"/>
      <x:c r="O490" s="68"/>
      <x:c r="P490" s="68"/>
      <x:c r="Q490" s="68"/>
      <x:c r="R490" s="68"/>
      <x:c r="S490" s="68"/>
      <x:c r="T490" s="68"/>
      <x:c r="U490" s="68"/>
      <x:c r="V490" s="68"/>
      <x:c r="W490" s="68"/>
      <x:c r="X490" s="68"/>
      <x:c r="Y490" s="68"/>
      <x:c r="Z490" s="68"/>
    </x:row>
    <x:row r="491">
      <x:c r="A491" s="68"/>
      <x:c r="B491" s="68"/>
      <x:c r="C491" s="68"/>
      <x:c r="D491" s="68"/>
      <x:c r="E491" s="68"/>
      <x:c r="F491" s="68"/>
      <x:c r="G491" s="68"/>
      <x:c r="H491" s="68"/>
      <x:c r="I491" s="68"/>
      <x:c r="J491" s="68"/>
      <x:c r="K491" s="68"/>
      <x:c r="L491" s="68"/>
      <x:c r="M491" s="68"/>
      <x:c r="N491" s="68"/>
      <x:c r="O491" s="68"/>
      <x:c r="P491" s="68"/>
      <x:c r="Q491" s="68"/>
      <x:c r="R491" s="68"/>
      <x:c r="S491" s="68"/>
      <x:c r="T491" s="68"/>
      <x:c r="U491" s="68"/>
      <x:c r="V491" s="68"/>
      <x:c r="W491" s="68"/>
      <x:c r="X491" s="68"/>
      <x:c r="Y491" s="68"/>
      <x:c r="Z491" s="68"/>
    </x:row>
    <x:row r="492">
      <x:c r="A492" s="68"/>
      <x:c r="B492" s="68"/>
      <x:c r="C492" s="68"/>
      <x:c r="D492" s="68"/>
      <x:c r="E492" s="68"/>
      <x:c r="F492" s="68"/>
      <x:c r="G492" s="68"/>
      <x:c r="H492" s="68"/>
      <x:c r="I492" s="68"/>
      <x:c r="J492" s="68"/>
      <x:c r="K492" s="68"/>
      <x:c r="L492" s="68"/>
      <x:c r="M492" s="68"/>
      <x:c r="N492" s="68"/>
      <x:c r="O492" s="68"/>
      <x:c r="P492" s="68"/>
      <x:c r="Q492" s="68"/>
      <x:c r="R492" s="68"/>
      <x:c r="S492" s="68"/>
      <x:c r="T492" s="68"/>
      <x:c r="U492" s="68"/>
      <x:c r="V492" s="68"/>
      <x:c r="W492" s="68"/>
      <x:c r="X492" s="68"/>
      <x:c r="Y492" s="68"/>
      <x:c r="Z492" s="68"/>
    </x:row>
    <x:row r="493">
      <x:c r="A493" s="68"/>
      <x:c r="B493" s="68"/>
      <x:c r="C493" s="68"/>
      <x:c r="D493" s="68"/>
      <x:c r="E493" s="68"/>
      <x:c r="F493" s="68"/>
      <x:c r="G493" s="68"/>
      <x:c r="H493" s="68"/>
      <x:c r="I493" s="68"/>
      <x:c r="J493" s="68"/>
      <x:c r="K493" s="68"/>
      <x:c r="L493" s="68"/>
      <x:c r="M493" s="68"/>
      <x:c r="N493" s="68"/>
      <x:c r="O493" s="68"/>
      <x:c r="P493" s="68"/>
      <x:c r="Q493" s="68"/>
      <x:c r="R493" s="68"/>
      <x:c r="S493" s="68"/>
      <x:c r="T493" s="68"/>
      <x:c r="U493" s="68"/>
      <x:c r="V493" s="68"/>
      <x:c r="W493" s="68"/>
      <x:c r="X493" s="68"/>
      <x:c r="Y493" s="68"/>
      <x:c r="Z493" s="68"/>
    </x:row>
    <x:row r="494">
      <x:c r="A494" s="68"/>
      <x:c r="B494" s="68"/>
      <x:c r="C494" s="68"/>
      <x:c r="D494" s="68"/>
      <x:c r="E494" s="68"/>
      <x:c r="F494" s="68"/>
      <x:c r="G494" s="68"/>
      <x:c r="H494" s="68"/>
      <x:c r="I494" s="68"/>
      <x:c r="J494" s="68"/>
      <x:c r="K494" s="68"/>
      <x:c r="L494" s="68"/>
      <x:c r="M494" s="68"/>
      <x:c r="N494" s="68"/>
      <x:c r="O494" s="68"/>
      <x:c r="P494" s="68"/>
      <x:c r="Q494" s="68"/>
      <x:c r="R494" s="68"/>
      <x:c r="S494" s="68"/>
      <x:c r="T494" s="68"/>
      <x:c r="U494" s="68"/>
      <x:c r="V494" s="68"/>
      <x:c r="W494" s="68"/>
      <x:c r="X494" s="68"/>
      <x:c r="Y494" s="68"/>
      <x:c r="Z494" s="68"/>
    </x:row>
    <x:row r="495">
      <x:c r="A495" s="68"/>
      <x:c r="B495" s="68"/>
      <x:c r="C495" s="68"/>
      <x:c r="D495" s="68"/>
      <x:c r="E495" s="68"/>
      <x:c r="F495" s="68"/>
      <x:c r="G495" s="68"/>
      <x:c r="H495" s="68"/>
      <x:c r="I495" s="68"/>
      <x:c r="J495" s="68"/>
      <x:c r="K495" s="68"/>
      <x:c r="L495" s="68"/>
      <x:c r="M495" s="68"/>
      <x:c r="N495" s="68"/>
      <x:c r="O495" s="68"/>
      <x:c r="P495" s="68"/>
      <x:c r="Q495" s="68"/>
      <x:c r="R495" s="68"/>
      <x:c r="S495" s="68"/>
      <x:c r="T495" s="68"/>
      <x:c r="U495" s="68"/>
      <x:c r="V495" s="68"/>
      <x:c r="W495" s="68"/>
      <x:c r="X495" s="68"/>
      <x:c r="Y495" s="68"/>
      <x:c r="Z495" s="68"/>
    </x:row>
    <x:row r="496">
      <x:c r="A496" s="68"/>
      <x:c r="B496" s="68"/>
      <x:c r="C496" s="68"/>
      <x:c r="D496" s="68"/>
      <x:c r="E496" s="68"/>
      <x:c r="F496" s="68"/>
      <x:c r="G496" s="68"/>
      <x:c r="H496" s="68"/>
      <x:c r="I496" s="68"/>
      <x:c r="J496" s="68"/>
      <x:c r="K496" s="68"/>
      <x:c r="L496" s="68"/>
      <x:c r="M496" s="68"/>
      <x:c r="N496" s="68"/>
      <x:c r="O496" s="68"/>
      <x:c r="P496" s="68"/>
      <x:c r="Q496" s="68"/>
      <x:c r="R496" s="68"/>
      <x:c r="S496" s="68"/>
      <x:c r="T496" s="68"/>
      <x:c r="U496" s="68"/>
      <x:c r="V496" s="68"/>
      <x:c r="W496" s="68"/>
      <x:c r="X496" s="68"/>
      <x:c r="Y496" s="68"/>
      <x:c r="Z496" s="68"/>
    </x:row>
    <x:row r="497">
      <x:c r="A497" s="68"/>
      <x:c r="B497" s="68"/>
      <x:c r="C497" s="68"/>
      <x:c r="D497" s="68"/>
      <x:c r="E497" s="68"/>
      <x:c r="F497" s="68"/>
      <x:c r="G497" s="68"/>
      <x:c r="H497" s="68"/>
      <x:c r="I497" s="68"/>
      <x:c r="J497" s="68"/>
      <x:c r="K497" s="68"/>
      <x:c r="L497" s="68"/>
      <x:c r="M497" s="68"/>
      <x:c r="N497" s="68"/>
      <x:c r="O497" s="68"/>
      <x:c r="P497" s="68"/>
      <x:c r="Q497" s="68"/>
      <x:c r="R497" s="68"/>
      <x:c r="S497" s="68"/>
      <x:c r="T497" s="68"/>
      <x:c r="U497" s="68"/>
      <x:c r="V497" s="68"/>
      <x:c r="W497" s="68"/>
      <x:c r="X497" s="68"/>
      <x:c r="Y497" s="68"/>
      <x:c r="Z497" s="68"/>
    </x:row>
    <x:row r="498">
      <x:c r="A498" s="68"/>
      <x:c r="B498" s="68"/>
      <x:c r="C498" s="68"/>
      <x:c r="D498" s="68"/>
      <x:c r="E498" s="68"/>
      <x:c r="F498" s="68"/>
      <x:c r="G498" s="68"/>
      <x:c r="H498" s="68"/>
      <x:c r="I498" s="68"/>
      <x:c r="J498" s="68"/>
      <x:c r="K498" s="68"/>
      <x:c r="L498" s="68"/>
      <x:c r="M498" s="68"/>
      <x:c r="N498" s="68"/>
      <x:c r="O498" s="68"/>
      <x:c r="P498" s="68"/>
      <x:c r="Q498" s="68"/>
      <x:c r="R498" s="68"/>
      <x:c r="S498" s="68"/>
      <x:c r="T498" s="68"/>
      <x:c r="U498" s="68"/>
      <x:c r="V498" s="68"/>
      <x:c r="W498" s="68"/>
      <x:c r="X498" s="68"/>
      <x:c r="Y498" s="68"/>
      <x:c r="Z498" s="68"/>
    </x:row>
    <x:row r="499">
      <x:c r="A499" s="68"/>
      <x:c r="B499" s="68"/>
      <x:c r="C499" s="68"/>
      <x:c r="D499" s="68"/>
      <x:c r="E499" s="68"/>
      <x:c r="F499" s="68"/>
      <x:c r="G499" s="68"/>
      <x:c r="H499" s="68"/>
      <x:c r="I499" s="68"/>
      <x:c r="J499" s="68"/>
      <x:c r="K499" s="68"/>
      <x:c r="L499" s="68"/>
      <x:c r="M499" s="68"/>
      <x:c r="N499" s="68"/>
      <x:c r="O499" s="68"/>
      <x:c r="P499" s="68"/>
      <x:c r="Q499" s="68"/>
      <x:c r="R499" s="68"/>
      <x:c r="S499" s="68"/>
      <x:c r="T499" s="68"/>
      <x:c r="U499" s="68"/>
      <x:c r="V499" s="68"/>
      <x:c r="W499" s="68"/>
      <x:c r="X499" s="68"/>
      <x:c r="Y499" s="68"/>
      <x:c r="Z499" s="68"/>
    </x:row>
    <x:row r="500">
      <x:c r="A500" s="68"/>
      <x:c r="B500" s="68"/>
      <x:c r="C500" s="68"/>
      <x:c r="D500" s="68"/>
      <x:c r="E500" s="68"/>
      <x:c r="F500" s="68"/>
      <x:c r="G500" s="68"/>
      <x:c r="H500" s="68"/>
      <x:c r="I500" s="68"/>
      <x:c r="J500" s="68"/>
      <x:c r="K500" s="68"/>
      <x:c r="L500" s="68"/>
      <x:c r="M500" s="68"/>
      <x:c r="N500" s="68"/>
      <x:c r="O500" s="68"/>
      <x:c r="P500" s="68"/>
      <x:c r="Q500" s="68"/>
      <x:c r="R500" s="68"/>
      <x:c r="S500" s="68"/>
      <x:c r="T500" s="68"/>
      <x:c r="U500" s="68"/>
      <x:c r="V500" s="68"/>
      <x:c r="W500" s="68"/>
      <x:c r="X500" s="68"/>
      <x:c r="Y500" s="68"/>
      <x:c r="Z500" s="68"/>
    </x:row>
  </x:sheetData>
  <x:mergeCells>
    <x:mergeCell ref="A1:P1"/>
  </x:mergeCells>
  <x:conditionalFormatting sqref="I4:I20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L4:L203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854bdea21cb4de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4.25" hidden="0" customWidth="1"/>
    <x:col min="2" max="2" width="8" hidden="0" customWidth="1"/>
    <x:col min="3" max="3" width="22" hidden="0" customWidth="1"/>
    <x:col min="4" max="4" width="34" hidden="0" customWidth="1"/>
    <x:col min="5" max="5" width="5" hidden="0" customWidth="1"/>
    <x:col min="6" max="6" width="14.130000114440918" hidden="0" customWidth="1"/>
    <x:col min="7" max="7" width="28" hidden="0" customWidth="1"/>
    <x:col min="8" max="8" width="36" hidden="0" customWidth="1"/>
  </x:cols>
  <x:sheetData>
    <x:row r="1">
      <x:c r="A1" s="47" t="str">
        <x:v>Parametri modello prezzo - Asta 2025/26</x:v>
      </x:c>
      <x:c r="B1" s="47"/>
      <x:c r="C1" s="47"/>
      <x:c r="D1" s="47"/>
      <x:c r="E1" s="47"/>
      <x:c r="F1" s="47"/>
      <x:c r="G1" s="47"/>
      <x:c r="H1" s="47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51" t="str">
        <x:v>Ruolo</x:v>
      </x:c>
      <x:c r="B3" s="51" t="str">
        <x:v>Intercetta</x:v>
      </x:c>
      <x:c r="C3" s="51" t="str">
        <x:v>Coeff. FVM</x:v>
      </x:c>
      <x:c r="D3" s="51" t="str">
        <x:v>MAE</x:v>
      </x:c>
      <x:c r="E3" s="51" t="str">
        <x:v>RMSE</x:v>
      </x:c>
      <x:c r="F3" s="51" t="str">
        <x:v>Residuo P25</x:v>
      </x:c>
      <x:c r="G3" s="51" t="str">
        <x:v>Residuo P75</x:v>
      </x:c>
      <x:c r="H3" s="51" t="str">
        <x:v>Correlazione FVM/Prezzo</x:v>
      </x:c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8" t="str">
        <x:v>P</x:v>
      </x:c>
      <x:c r="B4" s="73" t="n">
        <x:v>-2.414791267552264</x:v>
      </x:c>
      <x:c r="C4" s="73" t="n">
        <x:v>0.5044841161238711</x:v>
      </x:c>
      <x:c r="D4" s="73" t="n">
        <x:v>3.398167933306667</x:v>
      </x:c>
      <x:c r="E4" s="73" t="n">
        <x:v>4.899074919618362</x:v>
      </x:c>
      <x:c r="F4" s="73" t="n">
        <x:v>-2.3032541420180617</x:v>
      </x:c>
      <x:c r="G4" s="73" t="n">
        <x:v>1.6255657775625756</x:v>
      </x:c>
      <x:c r="H4" s="73" t="n">
        <x:v>0.9555081165158168</x:v>
      </x:c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68" t="str">
        <x:v>D</x:v>
      </x:c>
      <x:c r="B5" s="73" t="n">
        <x:v>-4.25281359331435</x:v>
      </x:c>
      <x:c r="C5" s="73" t="n">
        <x:v>0.5040699893863902</x:v>
      </x:c>
      <x:c r="D5" s="73" t="n">
        <x:v>3.2968358484381466</x:v>
      </x:c>
      <x:c r="E5" s="73" t="n">
        <x:v>4.13011313383809</x:v>
      </x:c>
      <x:c r="F5" s="73" t="n">
        <x:v>-3.17641811331832</x:v>
      </x:c>
      <x:c r="G5" s="73" t="n">
        <x:v>2.598153996631521</x:v>
      </x:c>
      <x:c r="H5" s="73" t="n">
        <x:v>0.9246647991268611</x:v>
      </x:c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68" t="str">
        <x:v>C</x:v>
      </x:c>
      <x:c r="B6" s="73" t="n">
        <x:v>-2.6442149105860793</x:v>
      </x:c>
      <x:c r="C6" s="73" t="n">
        <x:v>0.3454683201946865</x:v>
      </x:c>
      <x:c r="D6" s="73" t="n">
        <x:v>6.121794503862301</x:v>
      </x:c>
      <x:c r="E6" s="73" t="n">
        <x:v>8.058277254356415</x:v>
      </x:c>
      <x:c r="F6" s="73" t="n">
        <x:v>-4.760695574573113</x:v>
      </x:c>
      <x:c r="G6" s="73" t="n">
        <x:v>5.121177706205633</x:v>
      </x:c>
      <x:c r="H6" s="73" t="n">
        <x:v>0.91256369954822</x:v>
      </x:c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68" t="str">
        <x:v>A</x:v>
      </x:c>
      <x:c r="B7" s="73" t="n">
        <x:v>-7.9448166226686965</x:v>
      </x:c>
      <x:c r="C7" s="73" t="n">
        <x:v>0.39929547828813794</x:v>
      </x:c>
      <x:c r="D7" s="73" t="n">
        <x:v>10.990238919188007</x:v>
      </x:c>
      <x:c r="E7" s="73" t="n">
        <x:v>14.295062831444678</x:v>
      </x:c>
      <x:c r="F7" s="73" t="n">
        <x:v>-9.69318546668744</x:v>
      </x:c>
      <x:c r="G7" s="73" t="n">
        <x:v>8.274230404138937</x:v>
      </x:c>
      <x:c r="H7" s="73" t="n">
        <x:v>0.9270127774914336</x:v>
      </x:c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68"/>
      <x:c r="B8" s="68"/>
      <x:c r="C8" s="68"/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51" t="str">
        <x:v>Parametro</x:v>
      </x:c>
      <x:c r="B9" s="51" t="str">
        <x:v>Valore</x:v>
      </x:c>
      <x:c r="C9" s="51" t="str">
        <x:v>Uso</x:v>
      </x:c>
      <x:c r="D9" s="51" t="str">
        <x:v>Nota</x:v>
      </x:c>
      <x:c r="E9" s="68"/>
      <x:c r="F9" s="51" t="str">
        <x:v>Indicatore</x:v>
      </x:c>
      <x:c r="G9" s="51" t="str">
        <x:v>Formula iniziale</x:v>
      </x:c>
      <x:c r="H9" s="51" t="str">
        <x:v>Interpretazione</x:v>
      </x:c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68" t="str">
        <x:v>Budget iniziale</x:v>
      </x:c>
      <x:c r="B10" s="68" t="n">
        <x:v>500</x:v>
      </x:c>
      <x:c r="C10" s="68" t="str">
        <x:v>Normalizzazione prezzi</x:v>
      </x:c>
      <x:c r="D10" s="68" t="str">
        <x:v>Per partecipante</x:v>
      </x:c>
      <x:c r="E10" s="68"/>
      <x:c r="F10" s="68" t="str">
        <x:v>expectedPrice</x:v>
      </x:c>
      <x:c r="G10" s="68" t="str">
        <x:v>max(1, intercetta_ruolo + coeff_ruolo × FVM)</x:v>
      </x:c>
      <x:c r="H10" s="68" t="str">
        <x:v>Prezzo più probabile nella lega</x:v>
      </x:c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68" t="str">
        <x:v>Partecipanti</x:v>
      </x:c>
      <x:c r="B11" s="68" t="n">
        <x:v>8</x:v>
      </x:c>
      <x:c r="C11" s="68" t="str">
        <x:v>Pressione d'asta</x:v>
      </x:c>
      <x:c r="D11" s="68" t="str">
        <x:v>Ricostruiti dal file</x:v>
      </x:c>
      <x:c r="E11" s="68"/>
      <x:c r="F11" s="68" t="str">
        <x:v>priceP25</x:v>
      </x:c>
      <x:c r="G11" s="68" t="str">
        <x:v>max(1, expectedPrice + residuoP25)</x:v>
      </x:c>
      <x:c r="H11" s="68" t="str">
        <x:v>Fascia possibile da affare</x:v>
      </x:c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68" t="str">
        <x:v>Slot P</x:v>
      </x:c>
      <x:c r="B12" s="68" t="n">
        <x:v>3</x:v>
      </x:c>
      <x:c r="C12" s="68" t="str">
        <x:v>Vincolo rosa</x:v>
      </x:c>
      <x:c r="D12" s="68" t="str">
        <x:v>Per squadra</x:v>
      </x:c>
      <x:c r="E12" s="68"/>
      <x:c r="F12" s="68" t="str">
        <x:v>priceP75</x:v>
      </x:c>
      <x:c r="G12" s="68" t="str">
        <x:v>max(1, expectedPrice + residuoP75)</x:v>
      </x:c>
      <x:c r="H12" s="68" t="str">
        <x:v>Fascia di asta competitiva</x:v>
      </x:c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68" t="str">
        <x:v>Slot D</x:v>
      </x:c>
      <x:c r="B13" s="68" t="n">
        <x:v>8</x:v>
      </x:c>
      <x:c r="C13" s="68" t="str">
        <x:v>Vincolo rosa</x:v>
      </x:c>
      <x:c r="D13" s="68" t="str">
        <x:v>Per squadra</x:v>
      </x:c>
      <x:c r="E13" s="68"/>
      <x:c r="F13" s="68" t="str">
        <x:v>technicalScore</x:v>
      </x:c>
      <x:c r="G13" s="68" t="str">
        <x:v>FPEDIA + rendimento iniziale</x:v>
      </x:c>
      <x:c r="H13" s="68" t="str">
        <x:v>Valore sportivo, indipendente dal prezzo</x:v>
      </x:c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68" t="str">
        <x:v>Slot C</x:v>
      </x:c>
      <x:c r="B14" s="68" t="n">
        <x:v>8</x:v>
      </x:c>
      <x:c r="C14" s="68" t="str">
        <x:v>Vincolo rosa</x:v>
      </x:c>
      <x:c r="D14" s="68" t="str">
        <x:v>Per squadra</x:v>
      </x:c>
      <x:c r="E14" s="68"/>
      <x:c r="F14" s="68" t="str">
        <x:v>valueGap</x:v>
      </x:c>
      <x:c r="G14" s="68" t="str">
        <x:v>recommendedMaxBid - expectedPrice</x:v>
      </x:c>
      <x:c r="H14" s="68" t="str">
        <x:v>Margine economico</x:v>
      </x:c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68" t="str">
        <x:v>Slot A</x:v>
      </x:c>
      <x:c r="B15" s="68" t="n">
        <x:v>6</x:v>
      </x:c>
      <x:c r="C15" s="68" t="str">
        <x:v>Vincolo rosa</x:v>
      </x:c>
      <x:c r="D15" s="68" t="str">
        <x:v>Per squadra</x:v>
      </x:c>
      <x:c r="E15" s="68"/>
      <x:c r="F15" s="68" t="str">
        <x:v>scarcityIndex</x:v>
      </x:c>
      <x:c r="G15" s="68" t="str">
        <x:v>drop-off rispetto ai sostituti</x:v>
      </x:c>
      <x:c r="H15" s="68" t="str">
        <x:v>Scarsità nel ruolo</x:v>
      </x:c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68" t="str">
        <x:v>Peso massimo prime giornate</x:v>
      </x:c>
      <x:c r="B16" s="76" t="n">
        <x:v>0.3</x:v>
      </x:c>
      <x:c r="C16" s="68" t="str">
        <x:v>Aggiornamento tecnico</x:v>
      </x:c>
      <x:c r="D16" s="68" t="str">
        <x:v>Da calibrare con minuti</x:v>
      </x:c>
      <x:c r="E16" s="68"/>
      <x:c r="F16" s="68" t="str">
        <x:v>auctionPressure</x:v>
      </x:c>
      <x:c r="G16" s="68" t="str">
        <x:v>budget rivali + slot residui</x:v>
      </x:c>
      <x:c r="H16" s="68" t="str">
        <x:v>Pressione live</x:v>
      </x:c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68" t="str">
        <x:v>Peso massimo chat</x:v>
      </x:c>
      <x:c r="B17" s="76" t="n">
        <x:v>0.1</x:v>
      </x:c>
      <x:c r="C17" s="68" t="str">
        <x:v>Domanda/pressione</x:v>
      </x:c>
      <x:c r="D17" s="68" t="str">
        <x:v>Non modifica il valore tecnico</x:v>
      </x:c>
      <x:c r="E17" s="68"/>
      <x:c r="F17" s="68" t="str">
        <x:v>chatDemandIndex</x:v>
      </x:c>
      <x:c r="G17" s="68" t="str">
        <x:v>interesse esplicito e proposte</x:v>
      </x:c>
      <x:c r="H17" s="68" t="str">
        <x:v>Segnale debole, max 10%</x:v>
      </x:c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68" t="str">
        <x:v>Versione modello</x:v>
      </x:c>
      <x:c r="B18" s="68" t="str">
        <x:v>0.2.0</x:v>
      </x:c>
      <x:c r="C18" s="68" t="str">
        <x:v>Provenienza calcoli</x:v>
      </x:c>
      <x:c r="D18" s="68" t="str">
        <x:v>Una sola asta completa disponibile</x:v>
      </x:c>
      <x:c r="E18" s="68"/>
      <x:c r="F18" s="68" t="str">
        <x:v>confidence</x:v>
      </x:c>
      <x:c r="G18" s="68" t="str">
        <x:v>copertura fonti + campione storico</x:v>
      </x:c>
      <x:c r="H18" s="68" t="str">
        <x:v>Affidabilità dell'indicatore</x:v>
      </x:c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68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77" t="str">
        <x:v>Nota: FVM è un ottimo predittore del prezzo in questa asta, ma il modello va aggiornato con una seconda asta completa prima di stabilizzare i coefficienti.</x:v>
      </x:c>
      <x:c r="B20" s="77"/>
      <x:c r="C20" s="77"/>
      <x:c r="D20" s="77"/>
      <x:c r="E20" s="77"/>
      <x:c r="F20" s="77"/>
      <x:c r="G20" s="77"/>
      <x:c r="H20" s="77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>
      <x:c r="A21" s="68"/>
      <x:c r="B21" s="68"/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>
      <x:c r="A22" s="68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>
      <x:c r="A23" s="68"/>
      <x:c r="B23" s="68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>
      <x:c r="A24" s="68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>
      <x:c r="A25" s="68"/>
      <x:c r="B25" s="68"/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>
      <x:c r="A26" s="68"/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  <x:row r="201">
      <x:c r="A201" s="68"/>
      <x:c r="B201" s="68"/>
      <x:c r="C201" s="68"/>
      <x:c r="D201" s="68"/>
      <x:c r="E201" s="68"/>
      <x:c r="F201" s="68"/>
      <x:c r="G201" s="68"/>
      <x:c r="H201" s="68"/>
      <x:c r="I201" s="68"/>
      <x:c r="J201" s="68"/>
      <x:c r="K201" s="68"/>
      <x:c r="L201" s="68"/>
      <x:c r="M201" s="68"/>
      <x:c r="N201" s="68"/>
      <x:c r="O201" s="68"/>
      <x:c r="P201" s="68"/>
      <x:c r="Q201" s="68"/>
      <x:c r="R201" s="68"/>
      <x:c r="S201" s="68"/>
      <x:c r="T201" s="68"/>
      <x:c r="U201" s="68"/>
      <x:c r="V201" s="68"/>
      <x:c r="W201" s="68"/>
      <x:c r="X201" s="68"/>
      <x:c r="Y201" s="68"/>
      <x:c r="Z201" s="68"/>
    </x:row>
    <x:row r="202">
      <x:c r="A202" s="68"/>
      <x:c r="B202" s="68"/>
      <x:c r="C202" s="68"/>
      <x:c r="D202" s="68"/>
      <x:c r="E202" s="68"/>
      <x:c r="F202" s="68"/>
      <x:c r="G202" s="68"/>
      <x:c r="H202" s="68"/>
      <x:c r="I202" s="68"/>
      <x:c r="J202" s="68"/>
      <x:c r="K202" s="68"/>
      <x:c r="L202" s="68"/>
      <x:c r="M202" s="68"/>
      <x:c r="N202" s="68"/>
      <x:c r="O202" s="68"/>
      <x:c r="P202" s="68"/>
      <x:c r="Q202" s="68"/>
      <x:c r="R202" s="68"/>
      <x:c r="S202" s="68"/>
      <x:c r="T202" s="68"/>
      <x:c r="U202" s="68"/>
      <x:c r="V202" s="68"/>
      <x:c r="W202" s="68"/>
      <x:c r="X202" s="68"/>
      <x:c r="Y202" s="68"/>
      <x:c r="Z202" s="68"/>
    </x:row>
    <x:row r="203">
      <x:c r="A203" s="68"/>
      <x:c r="B203" s="68"/>
      <x:c r="C203" s="68"/>
      <x:c r="D203" s="68"/>
      <x:c r="E203" s="68"/>
      <x:c r="F203" s="68"/>
      <x:c r="G203" s="68"/>
      <x:c r="H203" s="68"/>
      <x:c r="I203" s="68"/>
      <x:c r="J203" s="68"/>
      <x:c r="K203" s="68"/>
      <x:c r="L203" s="68"/>
      <x:c r="M203" s="68"/>
      <x:c r="N203" s="68"/>
      <x:c r="O203" s="68"/>
      <x:c r="P203" s="68"/>
      <x:c r="Q203" s="68"/>
      <x:c r="R203" s="68"/>
      <x:c r="S203" s="68"/>
      <x:c r="T203" s="68"/>
      <x:c r="U203" s="68"/>
      <x:c r="V203" s="68"/>
      <x:c r="W203" s="68"/>
      <x:c r="X203" s="68"/>
      <x:c r="Y203" s="68"/>
      <x:c r="Z203" s="68"/>
    </x:row>
    <x:row r="204">
      <x:c r="A204" s="68"/>
      <x:c r="B204" s="68"/>
      <x:c r="C204" s="68"/>
      <x:c r="D204" s="68"/>
      <x:c r="E204" s="68"/>
      <x:c r="F204" s="68"/>
      <x:c r="G204" s="68"/>
      <x:c r="H204" s="68"/>
      <x:c r="I204" s="68"/>
      <x:c r="J204" s="68"/>
      <x:c r="K204" s="68"/>
      <x:c r="L204" s="68"/>
      <x:c r="M204" s="68"/>
      <x:c r="N204" s="68"/>
      <x:c r="O204" s="68"/>
      <x:c r="P204" s="68"/>
      <x:c r="Q204" s="68"/>
      <x:c r="R204" s="68"/>
      <x:c r="S204" s="68"/>
      <x:c r="T204" s="68"/>
      <x:c r="U204" s="68"/>
      <x:c r="V204" s="68"/>
      <x:c r="W204" s="68"/>
      <x:c r="X204" s="68"/>
      <x:c r="Y204" s="68"/>
      <x:c r="Z204" s="68"/>
    </x:row>
    <x:row r="205">
      <x:c r="A205" s="68"/>
      <x:c r="B205" s="68"/>
      <x:c r="C205" s="68"/>
      <x:c r="D205" s="68"/>
      <x:c r="E205" s="68"/>
      <x:c r="F205" s="68"/>
      <x:c r="G205" s="68"/>
      <x:c r="H205" s="68"/>
      <x:c r="I205" s="68"/>
      <x:c r="J205" s="68"/>
      <x:c r="K205" s="68"/>
      <x:c r="L205" s="68"/>
      <x:c r="M205" s="68"/>
      <x:c r="N205" s="68"/>
      <x:c r="O205" s="68"/>
      <x:c r="P205" s="68"/>
      <x:c r="Q205" s="68"/>
      <x:c r="R205" s="68"/>
      <x:c r="S205" s="68"/>
      <x:c r="T205" s="68"/>
      <x:c r="U205" s="68"/>
      <x:c r="V205" s="68"/>
      <x:c r="W205" s="68"/>
      <x:c r="X205" s="68"/>
      <x:c r="Y205" s="68"/>
      <x:c r="Z205" s="68"/>
    </x:row>
    <x:row r="206">
      <x:c r="A206" s="68"/>
      <x:c r="B206" s="68"/>
      <x:c r="C206" s="68"/>
      <x:c r="D206" s="68"/>
      <x:c r="E206" s="68"/>
      <x:c r="F206" s="68"/>
      <x:c r="G206" s="68"/>
      <x:c r="H206" s="68"/>
      <x:c r="I206" s="68"/>
      <x:c r="J206" s="68"/>
      <x:c r="K206" s="68"/>
      <x:c r="L206" s="68"/>
      <x:c r="M206" s="68"/>
      <x:c r="N206" s="68"/>
      <x:c r="O206" s="68"/>
      <x:c r="P206" s="68"/>
      <x:c r="Q206" s="68"/>
      <x:c r="R206" s="68"/>
      <x:c r="S206" s="68"/>
      <x:c r="T206" s="68"/>
      <x:c r="U206" s="68"/>
      <x:c r="V206" s="68"/>
      <x:c r="W206" s="68"/>
      <x:c r="X206" s="68"/>
      <x:c r="Y206" s="68"/>
      <x:c r="Z206" s="68"/>
    </x:row>
    <x:row r="207">
      <x:c r="A207" s="68"/>
      <x:c r="B207" s="68"/>
      <x:c r="C207" s="68"/>
      <x:c r="D207" s="68"/>
      <x:c r="E207" s="68"/>
      <x:c r="F207" s="68"/>
      <x:c r="G207" s="68"/>
      <x:c r="H207" s="68"/>
      <x:c r="I207" s="68"/>
      <x:c r="J207" s="68"/>
      <x:c r="K207" s="68"/>
      <x:c r="L207" s="68"/>
      <x:c r="M207" s="68"/>
      <x:c r="N207" s="68"/>
      <x:c r="O207" s="68"/>
      <x:c r="P207" s="68"/>
      <x:c r="Q207" s="68"/>
      <x:c r="R207" s="68"/>
      <x:c r="S207" s="68"/>
      <x:c r="T207" s="68"/>
      <x:c r="U207" s="68"/>
      <x:c r="V207" s="68"/>
      <x:c r="W207" s="68"/>
      <x:c r="X207" s="68"/>
      <x:c r="Y207" s="68"/>
      <x:c r="Z207" s="68"/>
    </x:row>
    <x:row r="208">
      <x:c r="A208" s="68"/>
      <x:c r="B208" s="68"/>
      <x:c r="C208" s="68"/>
      <x:c r="D208" s="68"/>
      <x:c r="E208" s="68"/>
      <x:c r="F208" s="68"/>
      <x:c r="G208" s="68"/>
      <x:c r="H208" s="68"/>
      <x:c r="I208" s="68"/>
      <x:c r="J208" s="68"/>
      <x:c r="K208" s="68"/>
      <x:c r="L208" s="68"/>
      <x:c r="M208" s="68"/>
      <x:c r="N208" s="68"/>
      <x:c r="O208" s="68"/>
      <x:c r="P208" s="68"/>
      <x:c r="Q208" s="68"/>
      <x:c r="R208" s="68"/>
      <x:c r="S208" s="68"/>
      <x:c r="T208" s="68"/>
      <x:c r="U208" s="68"/>
      <x:c r="V208" s="68"/>
      <x:c r="W208" s="68"/>
      <x:c r="X208" s="68"/>
      <x:c r="Y208" s="68"/>
      <x:c r="Z208" s="68"/>
    </x:row>
    <x:row r="209">
      <x:c r="A209" s="68"/>
      <x:c r="B209" s="68"/>
      <x:c r="C209" s="68"/>
      <x:c r="D209" s="68"/>
      <x:c r="E209" s="68"/>
      <x:c r="F209" s="68"/>
      <x:c r="G209" s="68"/>
      <x:c r="H209" s="68"/>
      <x:c r="I209" s="68"/>
      <x:c r="J209" s="68"/>
      <x:c r="K209" s="68"/>
      <x:c r="L209" s="68"/>
      <x:c r="M209" s="68"/>
      <x:c r="N209" s="68"/>
      <x:c r="O209" s="68"/>
      <x:c r="P209" s="68"/>
      <x:c r="Q209" s="68"/>
      <x:c r="R209" s="68"/>
      <x:c r="S209" s="68"/>
      <x:c r="T209" s="68"/>
      <x:c r="U209" s="68"/>
      <x:c r="V209" s="68"/>
      <x:c r="W209" s="68"/>
      <x:c r="X209" s="68"/>
      <x:c r="Y209" s="68"/>
      <x:c r="Z209" s="68"/>
    </x:row>
    <x:row r="210">
      <x:c r="A210" s="68"/>
      <x:c r="B210" s="68"/>
      <x:c r="C210" s="68"/>
      <x:c r="D210" s="68"/>
      <x:c r="E210" s="68"/>
      <x:c r="F210" s="68"/>
      <x:c r="G210" s="68"/>
      <x:c r="H210" s="68"/>
      <x:c r="I210" s="68"/>
      <x:c r="J210" s="68"/>
      <x:c r="K210" s="68"/>
      <x:c r="L210" s="68"/>
      <x:c r="M210" s="68"/>
      <x:c r="N210" s="68"/>
      <x:c r="O210" s="68"/>
      <x:c r="P210" s="68"/>
      <x:c r="Q210" s="68"/>
      <x:c r="R210" s="68"/>
      <x:c r="S210" s="68"/>
      <x:c r="T210" s="68"/>
      <x:c r="U210" s="68"/>
      <x:c r="V210" s="68"/>
      <x:c r="W210" s="68"/>
      <x:c r="X210" s="68"/>
      <x:c r="Y210" s="68"/>
      <x:c r="Z210" s="68"/>
    </x:row>
    <x:row r="211">
      <x:c r="A211" s="68"/>
      <x:c r="B211" s="68"/>
      <x:c r="C211" s="68"/>
      <x:c r="D211" s="68"/>
      <x:c r="E211" s="68"/>
      <x:c r="F211" s="68"/>
      <x:c r="G211" s="68"/>
      <x:c r="H211" s="68"/>
      <x:c r="I211" s="68"/>
      <x:c r="J211" s="68"/>
      <x:c r="K211" s="68"/>
      <x:c r="L211" s="68"/>
      <x:c r="M211" s="68"/>
      <x:c r="N211" s="68"/>
      <x:c r="O211" s="68"/>
      <x:c r="P211" s="68"/>
      <x:c r="Q211" s="68"/>
      <x:c r="R211" s="68"/>
      <x:c r="S211" s="68"/>
      <x:c r="T211" s="68"/>
      <x:c r="U211" s="68"/>
      <x:c r="V211" s="68"/>
      <x:c r="W211" s="68"/>
      <x:c r="X211" s="68"/>
      <x:c r="Y211" s="68"/>
      <x:c r="Z211" s="68"/>
    </x:row>
    <x:row r="212">
      <x:c r="A212" s="68"/>
      <x:c r="B212" s="68"/>
      <x:c r="C212" s="68"/>
      <x:c r="D212" s="68"/>
      <x:c r="E212" s="68"/>
      <x:c r="F212" s="68"/>
      <x:c r="G212" s="68"/>
      <x:c r="H212" s="68"/>
      <x:c r="I212" s="68"/>
      <x:c r="J212" s="68"/>
      <x:c r="K212" s="68"/>
      <x:c r="L212" s="68"/>
      <x:c r="M212" s="68"/>
      <x:c r="N212" s="68"/>
      <x:c r="O212" s="68"/>
      <x:c r="P212" s="68"/>
      <x:c r="Q212" s="68"/>
      <x:c r="R212" s="68"/>
      <x:c r="S212" s="68"/>
      <x:c r="T212" s="68"/>
      <x:c r="U212" s="68"/>
      <x:c r="V212" s="68"/>
      <x:c r="W212" s="68"/>
      <x:c r="X212" s="68"/>
      <x:c r="Y212" s="68"/>
      <x:c r="Z212" s="68"/>
    </x:row>
    <x:row r="213">
      <x:c r="A213" s="68"/>
      <x:c r="B213" s="68"/>
      <x:c r="C213" s="68"/>
      <x:c r="D213" s="68"/>
      <x:c r="E213" s="68"/>
      <x:c r="F213" s="68"/>
      <x:c r="G213" s="68"/>
      <x:c r="H213" s="68"/>
      <x:c r="I213" s="68"/>
      <x:c r="J213" s="68"/>
      <x:c r="K213" s="68"/>
      <x:c r="L213" s="68"/>
      <x:c r="M213" s="68"/>
      <x:c r="N213" s="68"/>
      <x:c r="O213" s="68"/>
      <x:c r="P213" s="68"/>
      <x:c r="Q213" s="68"/>
      <x:c r="R213" s="68"/>
      <x:c r="S213" s="68"/>
      <x:c r="T213" s="68"/>
      <x:c r="U213" s="68"/>
      <x:c r="V213" s="68"/>
      <x:c r="W213" s="68"/>
      <x:c r="X213" s="68"/>
      <x:c r="Y213" s="68"/>
      <x:c r="Z213" s="68"/>
    </x:row>
    <x:row r="214">
      <x:c r="A214" s="68"/>
      <x:c r="B214" s="68"/>
      <x:c r="C214" s="68"/>
      <x:c r="D214" s="68"/>
      <x:c r="E214" s="68"/>
      <x:c r="F214" s="68"/>
      <x:c r="G214" s="68"/>
      <x:c r="H214" s="68"/>
      <x:c r="I214" s="68"/>
      <x:c r="J214" s="68"/>
      <x:c r="K214" s="68"/>
      <x:c r="L214" s="68"/>
      <x:c r="M214" s="68"/>
      <x:c r="N214" s="68"/>
      <x:c r="O214" s="68"/>
      <x:c r="P214" s="68"/>
      <x:c r="Q214" s="68"/>
      <x:c r="R214" s="68"/>
      <x:c r="S214" s="68"/>
      <x:c r="T214" s="68"/>
      <x:c r="U214" s="68"/>
      <x:c r="V214" s="68"/>
      <x:c r="W214" s="68"/>
      <x:c r="X214" s="68"/>
      <x:c r="Y214" s="68"/>
      <x:c r="Z214" s="68"/>
    </x:row>
    <x:row r="215">
      <x:c r="A215" s="68"/>
      <x:c r="B215" s="68"/>
      <x:c r="C215" s="68"/>
      <x:c r="D215" s="68"/>
      <x:c r="E215" s="68"/>
      <x:c r="F215" s="68"/>
      <x:c r="G215" s="68"/>
      <x:c r="H215" s="68"/>
      <x:c r="I215" s="68"/>
      <x:c r="J215" s="68"/>
      <x:c r="K215" s="68"/>
      <x:c r="L215" s="68"/>
      <x:c r="M215" s="68"/>
      <x:c r="N215" s="68"/>
      <x:c r="O215" s="68"/>
      <x:c r="P215" s="68"/>
      <x:c r="Q215" s="68"/>
      <x:c r="R215" s="68"/>
      <x:c r="S215" s="68"/>
      <x:c r="T215" s="68"/>
      <x:c r="U215" s="68"/>
      <x:c r="V215" s="68"/>
      <x:c r="W215" s="68"/>
      <x:c r="X215" s="68"/>
      <x:c r="Y215" s="68"/>
      <x:c r="Z215" s="68"/>
    </x:row>
    <x:row r="216">
      <x:c r="A216" s="68"/>
      <x:c r="B216" s="68"/>
      <x:c r="C216" s="68"/>
      <x:c r="D216" s="68"/>
      <x:c r="E216" s="68"/>
      <x:c r="F216" s="68"/>
      <x:c r="G216" s="68"/>
      <x:c r="H216" s="68"/>
      <x:c r="I216" s="68"/>
      <x:c r="J216" s="68"/>
      <x:c r="K216" s="68"/>
      <x:c r="L216" s="68"/>
      <x:c r="M216" s="68"/>
      <x:c r="N216" s="68"/>
      <x:c r="O216" s="68"/>
      <x:c r="P216" s="68"/>
      <x:c r="Q216" s="68"/>
      <x:c r="R216" s="68"/>
      <x:c r="S216" s="68"/>
      <x:c r="T216" s="68"/>
      <x:c r="U216" s="68"/>
      <x:c r="V216" s="68"/>
      <x:c r="W216" s="68"/>
      <x:c r="X216" s="68"/>
      <x:c r="Y216" s="68"/>
      <x:c r="Z216" s="68"/>
    </x:row>
    <x:row r="217">
      <x:c r="A217" s="68"/>
      <x:c r="B217" s="68"/>
      <x:c r="C217" s="68"/>
      <x:c r="D217" s="68"/>
      <x:c r="E217" s="68"/>
      <x:c r="F217" s="68"/>
      <x:c r="G217" s="68"/>
      <x:c r="H217" s="68"/>
      <x:c r="I217" s="68"/>
      <x:c r="J217" s="68"/>
      <x:c r="K217" s="68"/>
      <x:c r="L217" s="68"/>
      <x:c r="M217" s="68"/>
      <x:c r="N217" s="68"/>
      <x:c r="O217" s="68"/>
      <x:c r="P217" s="68"/>
      <x:c r="Q217" s="68"/>
      <x:c r="R217" s="68"/>
      <x:c r="S217" s="68"/>
      <x:c r="T217" s="68"/>
      <x:c r="U217" s="68"/>
      <x:c r="V217" s="68"/>
      <x:c r="W217" s="68"/>
      <x:c r="X217" s="68"/>
      <x:c r="Y217" s="68"/>
      <x:c r="Z217" s="68"/>
    </x:row>
    <x:row r="218">
      <x:c r="A218" s="68"/>
      <x:c r="B218" s="68"/>
      <x:c r="C218" s="68"/>
      <x:c r="D218" s="68"/>
      <x:c r="E218" s="68"/>
      <x:c r="F218" s="68"/>
      <x:c r="G218" s="68"/>
      <x:c r="H218" s="68"/>
      <x:c r="I218" s="68"/>
      <x:c r="J218" s="68"/>
      <x:c r="K218" s="68"/>
      <x:c r="L218" s="68"/>
      <x:c r="M218" s="68"/>
      <x:c r="N218" s="68"/>
      <x:c r="O218" s="68"/>
      <x:c r="P218" s="68"/>
      <x:c r="Q218" s="68"/>
      <x:c r="R218" s="68"/>
      <x:c r="S218" s="68"/>
      <x:c r="T218" s="68"/>
      <x:c r="U218" s="68"/>
      <x:c r="V218" s="68"/>
      <x:c r="W218" s="68"/>
      <x:c r="X218" s="68"/>
      <x:c r="Y218" s="68"/>
      <x:c r="Z218" s="68"/>
    </x:row>
    <x:row r="219">
      <x:c r="A219" s="68"/>
      <x:c r="B219" s="68"/>
      <x:c r="C219" s="68"/>
      <x:c r="D219" s="68"/>
      <x:c r="E219" s="68"/>
      <x:c r="F219" s="68"/>
      <x:c r="G219" s="68"/>
      <x:c r="H219" s="68"/>
      <x:c r="I219" s="68"/>
      <x:c r="J219" s="68"/>
      <x:c r="K219" s="68"/>
      <x:c r="L219" s="68"/>
      <x:c r="M219" s="68"/>
      <x:c r="N219" s="68"/>
      <x:c r="O219" s="68"/>
      <x:c r="P219" s="68"/>
      <x:c r="Q219" s="68"/>
      <x:c r="R219" s="68"/>
      <x:c r="S219" s="68"/>
      <x:c r="T219" s="68"/>
      <x:c r="U219" s="68"/>
      <x:c r="V219" s="68"/>
      <x:c r="W219" s="68"/>
      <x:c r="X219" s="68"/>
      <x:c r="Y219" s="68"/>
      <x:c r="Z219" s="68"/>
    </x:row>
    <x:row r="220">
      <x:c r="A220" s="68"/>
      <x:c r="B220" s="68"/>
      <x:c r="C220" s="68"/>
      <x:c r="D220" s="68"/>
      <x:c r="E220" s="68"/>
      <x:c r="F220" s="68"/>
      <x:c r="G220" s="68"/>
      <x:c r="H220" s="68"/>
      <x:c r="I220" s="68"/>
      <x:c r="J220" s="68"/>
      <x:c r="K220" s="68"/>
      <x:c r="L220" s="68"/>
      <x:c r="M220" s="68"/>
      <x:c r="N220" s="68"/>
      <x:c r="O220" s="68"/>
      <x:c r="P220" s="68"/>
      <x:c r="Q220" s="68"/>
      <x:c r="R220" s="68"/>
      <x:c r="S220" s="68"/>
      <x:c r="T220" s="68"/>
      <x:c r="U220" s="68"/>
      <x:c r="V220" s="68"/>
      <x:c r="W220" s="68"/>
      <x:c r="X220" s="68"/>
      <x:c r="Y220" s="68"/>
      <x:c r="Z220" s="68"/>
    </x:row>
    <x:row r="221">
      <x:c r="A221" s="68"/>
      <x:c r="B221" s="68"/>
      <x:c r="C221" s="68"/>
      <x:c r="D221" s="68"/>
      <x:c r="E221" s="68"/>
      <x:c r="F221" s="68"/>
      <x:c r="G221" s="68"/>
      <x:c r="H221" s="68"/>
      <x:c r="I221" s="68"/>
      <x:c r="J221" s="68"/>
      <x:c r="K221" s="68"/>
      <x:c r="L221" s="68"/>
      <x:c r="M221" s="68"/>
      <x:c r="N221" s="68"/>
      <x:c r="O221" s="68"/>
      <x:c r="P221" s="68"/>
      <x:c r="Q221" s="68"/>
      <x:c r="R221" s="68"/>
      <x:c r="S221" s="68"/>
      <x:c r="T221" s="68"/>
      <x:c r="U221" s="68"/>
      <x:c r="V221" s="68"/>
      <x:c r="W221" s="68"/>
      <x:c r="X221" s="68"/>
      <x:c r="Y221" s="68"/>
      <x:c r="Z221" s="68"/>
    </x:row>
    <x:row r="222">
      <x:c r="A222" s="68"/>
      <x:c r="B222" s="68"/>
      <x:c r="C222" s="68"/>
      <x:c r="D222" s="68"/>
      <x:c r="E222" s="68"/>
      <x:c r="F222" s="68"/>
      <x:c r="G222" s="68"/>
      <x:c r="H222" s="68"/>
      <x:c r="I222" s="68"/>
      <x:c r="J222" s="68"/>
      <x:c r="K222" s="68"/>
      <x:c r="L222" s="68"/>
      <x:c r="M222" s="68"/>
      <x:c r="N222" s="68"/>
      <x:c r="O222" s="68"/>
      <x:c r="P222" s="68"/>
      <x:c r="Q222" s="68"/>
      <x:c r="R222" s="68"/>
      <x:c r="S222" s="68"/>
      <x:c r="T222" s="68"/>
      <x:c r="U222" s="68"/>
      <x:c r="V222" s="68"/>
      <x:c r="W222" s="68"/>
      <x:c r="X222" s="68"/>
      <x:c r="Y222" s="68"/>
      <x:c r="Z222" s="68"/>
    </x:row>
    <x:row r="223">
      <x:c r="A223" s="68"/>
      <x:c r="B223" s="68"/>
      <x:c r="C223" s="68"/>
      <x:c r="D223" s="68"/>
      <x:c r="E223" s="68"/>
      <x:c r="F223" s="68"/>
      <x:c r="G223" s="68"/>
      <x:c r="H223" s="68"/>
      <x:c r="I223" s="68"/>
      <x:c r="J223" s="68"/>
      <x:c r="K223" s="68"/>
      <x:c r="L223" s="68"/>
      <x:c r="M223" s="68"/>
      <x:c r="N223" s="68"/>
      <x:c r="O223" s="68"/>
      <x:c r="P223" s="68"/>
      <x:c r="Q223" s="68"/>
      <x:c r="R223" s="68"/>
      <x:c r="S223" s="68"/>
      <x:c r="T223" s="68"/>
      <x:c r="U223" s="68"/>
      <x:c r="V223" s="68"/>
      <x:c r="W223" s="68"/>
      <x:c r="X223" s="68"/>
      <x:c r="Y223" s="68"/>
      <x:c r="Z223" s="68"/>
    </x:row>
    <x:row r="224">
      <x:c r="A224" s="68"/>
      <x:c r="B224" s="68"/>
      <x:c r="C224" s="68"/>
      <x:c r="D224" s="68"/>
      <x:c r="E224" s="68"/>
      <x:c r="F224" s="68"/>
      <x:c r="G224" s="68"/>
      <x:c r="H224" s="68"/>
      <x:c r="I224" s="68"/>
      <x:c r="J224" s="68"/>
      <x:c r="K224" s="68"/>
      <x:c r="L224" s="68"/>
      <x:c r="M224" s="68"/>
      <x:c r="N224" s="68"/>
      <x:c r="O224" s="68"/>
      <x:c r="P224" s="68"/>
      <x:c r="Q224" s="68"/>
      <x:c r="R224" s="68"/>
      <x:c r="S224" s="68"/>
      <x:c r="T224" s="68"/>
      <x:c r="U224" s="68"/>
      <x:c r="V224" s="68"/>
      <x:c r="W224" s="68"/>
      <x:c r="X224" s="68"/>
      <x:c r="Y224" s="68"/>
      <x:c r="Z224" s="68"/>
    </x:row>
    <x:row r="225">
      <x:c r="A225" s="68"/>
      <x:c r="B225" s="68"/>
      <x:c r="C225" s="68"/>
      <x:c r="D225" s="68"/>
      <x:c r="E225" s="68"/>
      <x:c r="F225" s="68"/>
      <x:c r="G225" s="68"/>
      <x:c r="H225" s="68"/>
      <x:c r="I225" s="68"/>
      <x:c r="J225" s="68"/>
      <x:c r="K225" s="68"/>
      <x:c r="L225" s="68"/>
      <x:c r="M225" s="68"/>
      <x:c r="N225" s="68"/>
      <x:c r="O225" s="68"/>
      <x:c r="P225" s="68"/>
      <x:c r="Q225" s="68"/>
      <x:c r="R225" s="68"/>
      <x:c r="S225" s="68"/>
      <x:c r="T225" s="68"/>
      <x:c r="U225" s="68"/>
      <x:c r="V225" s="68"/>
      <x:c r="W225" s="68"/>
      <x:c r="X225" s="68"/>
      <x:c r="Y225" s="68"/>
      <x:c r="Z225" s="68"/>
    </x:row>
    <x:row r="226">
      <x:c r="A226" s="68"/>
      <x:c r="B226" s="68"/>
      <x:c r="C226" s="68"/>
      <x:c r="D226" s="68"/>
      <x:c r="E226" s="68"/>
      <x:c r="F226" s="68"/>
      <x:c r="G226" s="68"/>
      <x:c r="H226" s="68"/>
      <x:c r="I226" s="68"/>
      <x:c r="J226" s="68"/>
      <x:c r="K226" s="68"/>
      <x:c r="L226" s="68"/>
      <x:c r="M226" s="68"/>
      <x:c r="N226" s="68"/>
      <x:c r="O226" s="68"/>
      <x:c r="P226" s="68"/>
      <x:c r="Q226" s="68"/>
      <x:c r="R226" s="68"/>
      <x:c r="S226" s="68"/>
      <x:c r="T226" s="68"/>
      <x:c r="U226" s="68"/>
      <x:c r="V226" s="68"/>
      <x:c r="W226" s="68"/>
      <x:c r="X226" s="68"/>
      <x:c r="Y226" s="68"/>
      <x:c r="Z226" s="68"/>
    </x:row>
    <x:row r="227">
      <x:c r="A227" s="68"/>
      <x:c r="B227" s="68"/>
      <x:c r="C227" s="68"/>
      <x:c r="D227" s="68"/>
      <x:c r="E227" s="68"/>
      <x:c r="F227" s="68"/>
      <x:c r="G227" s="68"/>
      <x:c r="H227" s="68"/>
      <x:c r="I227" s="68"/>
      <x:c r="J227" s="68"/>
      <x:c r="K227" s="68"/>
      <x:c r="L227" s="68"/>
      <x:c r="M227" s="68"/>
      <x:c r="N227" s="68"/>
      <x:c r="O227" s="68"/>
      <x:c r="P227" s="68"/>
      <x:c r="Q227" s="68"/>
      <x:c r="R227" s="68"/>
      <x:c r="S227" s="68"/>
      <x:c r="T227" s="68"/>
      <x:c r="U227" s="68"/>
      <x:c r="V227" s="68"/>
      <x:c r="W227" s="68"/>
      <x:c r="X227" s="68"/>
      <x:c r="Y227" s="68"/>
      <x:c r="Z227" s="68"/>
    </x:row>
    <x:row r="228">
      <x:c r="A228" s="68"/>
      <x:c r="B228" s="68"/>
      <x:c r="C228" s="68"/>
      <x:c r="D228" s="68"/>
      <x:c r="E228" s="68"/>
      <x:c r="F228" s="68"/>
      <x:c r="G228" s="68"/>
      <x:c r="H228" s="68"/>
      <x:c r="I228" s="68"/>
      <x:c r="J228" s="68"/>
      <x:c r="K228" s="68"/>
      <x:c r="L228" s="68"/>
      <x:c r="M228" s="68"/>
      <x:c r="N228" s="68"/>
      <x:c r="O228" s="68"/>
      <x:c r="P228" s="68"/>
      <x:c r="Q228" s="68"/>
      <x:c r="R228" s="68"/>
      <x:c r="S228" s="68"/>
      <x:c r="T228" s="68"/>
      <x:c r="U228" s="68"/>
      <x:c r="V228" s="68"/>
      <x:c r="W228" s="68"/>
      <x:c r="X228" s="68"/>
      <x:c r="Y228" s="68"/>
      <x:c r="Z228" s="68"/>
    </x:row>
    <x:row r="229">
      <x:c r="A229" s="68"/>
      <x:c r="B229" s="68"/>
      <x:c r="C229" s="68"/>
      <x:c r="D229" s="68"/>
      <x:c r="E229" s="68"/>
      <x:c r="F229" s="68"/>
      <x:c r="G229" s="68"/>
      <x:c r="H229" s="68"/>
      <x:c r="I229" s="68"/>
      <x:c r="J229" s="68"/>
      <x:c r="K229" s="68"/>
      <x:c r="L229" s="68"/>
      <x:c r="M229" s="68"/>
      <x:c r="N229" s="68"/>
      <x:c r="O229" s="68"/>
      <x:c r="P229" s="68"/>
      <x:c r="Q229" s="68"/>
      <x:c r="R229" s="68"/>
      <x:c r="S229" s="68"/>
      <x:c r="T229" s="68"/>
      <x:c r="U229" s="68"/>
      <x:c r="V229" s="68"/>
      <x:c r="W229" s="68"/>
      <x:c r="X229" s="68"/>
      <x:c r="Y229" s="68"/>
      <x:c r="Z229" s="68"/>
    </x:row>
    <x:row r="230">
      <x:c r="A230" s="68"/>
      <x:c r="B230" s="68"/>
      <x:c r="C230" s="68"/>
      <x:c r="D230" s="68"/>
      <x:c r="E230" s="68"/>
      <x:c r="F230" s="68"/>
      <x:c r="G230" s="68"/>
      <x:c r="H230" s="68"/>
      <x:c r="I230" s="68"/>
      <x:c r="J230" s="68"/>
      <x:c r="K230" s="68"/>
      <x:c r="L230" s="68"/>
      <x:c r="M230" s="68"/>
      <x:c r="N230" s="68"/>
      <x:c r="O230" s="68"/>
      <x:c r="P230" s="68"/>
      <x:c r="Q230" s="68"/>
      <x:c r="R230" s="68"/>
      <x:c r="S230" s="68"/>
      <x:c r="T230" s="68"/>
      <x:c r="U230" s="68"/>
      <x:c r="V230" s="68"/>
      <x:c r="W230" s="68"/>
      <x:c r="X230" s="68"/>
      <x:c r="Y230" s="68"/>
      <x:c r="Z230" s="68"/>
    </x:row>
    <x:row r="231">
      <x:c r="A231" s="68"/>
      <x:c r="B231" s="68"/>
      <x:c r="C231" s="68"/>
      <x:c r="D231" s="68"/>
      <x:c r="E231" s="68"/>
      <x:c r="F231" s="68"/>
      <x:c r="G231" s="68"/>
      <x:c r="H231" s="68"/>
      <x:c r="I231" s="68"/>
      <x:c r="J231" s="68"/>
      <x:c r="K231" s="68"/>
      <x:c r="L231" s="68"/>
      <x:c r="M231" s="68"/>
      <x:c r="N231" s="68"/>
      <x:c r="O231" s="68"/>
      <x:c r="P231" s="68"/>
      <x:c r="Q231" s="68"/>
      <x:c r="R231" s="68"/>
      <x:c r="S231" s="68"/>
      <x:c r="T231" s="68"/>
      <x:c r="U231" s="68"/>
      <x:c r="V231" s="68"/>
      <x:c r="W231" s="68"/>
      <x:c r="X231" s="68"/>
      <x:c r="Y231" s="68"/>
      <x:c r="Z231" s="68"/>
    </x:row>
    <x:row r="232">
      <x:c r="A232" s="68"/>
      <x:c r="B232" s="68"/>
      <x:c r="C232" s="68"/>
      <x:c r="D232" s="68"/>
      <x:c r="E232" s="68"/>
      <x:c r="F232" s="68"/>
      <x:c r="G232" s="68"/>
      <x:c r="H232" s="68"/>
      <x:c r="I232" s="68"/>
      <x:c r="J232" s="68"/>
      <x:c r="K232" s="68"/>
      <x:c r="L232" s="68"/>
      <x:c r="M232" s="68"/>
      <x:c r="N232" s="68"/>
      <x:c r="O232" s="68"/>
      <x:c r="P232" s="68"/>
      <x:c r="Q232" s="68"/>
      <x:c r="R232" s="68"/>
      <x:c r="S232" s="68"/>
      <x:c r="T232" s="68"/>
      <x:c r="U232" s="68"/>
      <x:c r="V232" s="68"/>
      <x:c r="W232" s="68"/>
      <x:c r="X232" s="68"/>
      <x:c r="Y232" s="68"/>
      <x:c r="Z232" s="68"/>
    </x:row>
    <x:row r="233">
      <x:c r="A233" s="68"/>
      <x:c r="B233" s="68"/>
      <x:c r="C233" s="68"/>
      <x:c r="D233" s="68"/>
      <x:c r="E233" s="68"/>
      <x:c r="F233" s="68"/>
      <x:c r="G233" s="68"/>
      <x:c r="H233" s="68"/>
      <x:c r="I233" s="68"/>
      <x:c r="J233" s="68"/>
      <x:c r="K233" s="68"/>
      <x:c r="L233" s="68"/>
      <x:c r="M233" s="68"/>
      <x:c r="N233" s="68"/>
      <x:c r="O233" s="68"/>
      <x:c r="P233" s="68"/>
      <x:c r="Q233" s="68"/>
      <x:c r="R233" s="68"/>
      <x:c r="S233" s="68"/>
      <x:c r="T233" s="68"/>
      <x:c r="U233" s="68"/>
      <x:c r="V233" s="68"/>
      <x:c r="W233" s="68"/>
      <x:c r="X233" s="68"/>
      <x:c r="Y233" s="68"/>
      <x:c r="Z233" s="68"/>
    </x:row>
    <x:row r="234">
      <x:c r="A234" s="68"/>
      <x:c r="B234" s="68"/>
      <x:c r="C234" s="68"/>
      <x:c r="D234" s="68"/>
      <x:c r="E234" s="68"/>
      <x:c r="F234" s="68"/>
      <x:c r="G234" s="68"/>
      <x:c r="H234" s="68"/>
      <x:c r="I234" s="68"/>
      <x:c r="J234" s="68"/>
      <x:c r="K234" s="68"/>
      <x:c r="L234" s="68"/>
      <x:c r="M234" s="68"/>
      <x:c r="N234" s="68"/>
      <x:c r="O234" s="68"/>
      <x:c r="P234" s="68"/>
      <x:c r="Q234" s="68"/>
      <x:c r="R234" s="68"/>
      <x:c r="S234" s="68"/>
      <x:c r="T234" s="68"/>
      <x:c r="U234" s="68"/>
      <x:c r="V234" s="68"/>
      <x:c r="W234" s="68"/>
      <x:c r="X234" s="68"/>
      <x:c r="Y234" s="68"/>
      <x:c r="Z234" s="68"/>
    </x:row>
    <x:row r="235">
      <x:c r="A235" s="68"/>
      <x:c r="B235" s="68"/>
      <x:c r="C235" s="68"/>
      <x:c r="D235" s="68"/>
      <x:c r="E235" s="68"/>
      <x:c r="F235" s="68"/>
      <x:c r="G235" s="68"/>
      <x:c r="H235" s="68"/>
      <x:c r="I235" s="68"/>
      <x:c r="J235" s="68"/>
      <x:c r="K235" s="68"/>
      <x:c r="L235" s="68"/>
      <x:c r="M235" s="68"/>
      <x:c r="N235" s="68"/>
      <x:c r="O235" s="68"/>
      <x:c r="P235" s="68"/>
      <x:c r="Q235" s="68"/>
      <x:c r="R235" s="68"/>
      <x:c r="S235" s="68"/>
      <x:c r="T235" s="68"/>
      <x:c r="U235" s="68"/>
      <x:c r="V235" s="68"/>
      <x:c r="W235" s="68"/>
      <x:c r="X235" s="68"/>
      <x:c r="Y235" s="68"/>
      <x:c r="Z235" s="68"/>
    </x:row>
    <x:row r="236">
      <x:c r="A236" s="68"/>
      <x:c r="B236" s="68"/>
      <x:c r="C236" s="68"/>
      <x:c r="D236" s="68"/>
      <x:c r="E236" s="68"/>
      <x:c r="F236" s="68"/>
      <x:c r="G236" s="68"/>
      <x:c r="H236" s="68"/>
      <x:c r="I236" s="68"/>
      <x:c r="J236" s="68"/>
      <x:c r="K236" s="68"/>
      <x:c r="L236" s="68"/>
      <x:c r="M236" s="68"/>
      <x:c r="N236" s="68"/>
      <x:c r="O236" s="68"/>
      <x:c r="P236" s="68"/>
      <x:c r="Q236" s="68"/>
      <x:c r="R236" s="68"/>
      <x:c r="S236" s="68"/>
      <x:c r="T236" s="68"/>
      <x:c r="U236" s="68"/>
      <x:c r="V236" s="68"/>
      <x:c r="W236" s="68"/>
      <x:c r="X236" s="68"/>
      <x:c r="Y236" s="68"/>
      <x:c r="Z236" s="68"/>
    </x:row>
    <x:row r="237">
      <x:c r="A237" s="68"/>
      <x:c r="B237" s="68"/>
      <x:c r="C237" s="68"/>
      <x:c r="D237" s="68"/>
      <x:c r="E237" s="68"/>
      <x:c r="F237" s="68"/>
      <x:c r="G237" s="68"/>
      <x:c r="H237" s="68"/>
      <x:c r="I237" s="68"/>
      <x:c r="J237" s="68"/>
      <x:c r="K237" s="68"/>
      <x:c r="L237" s="68"/>
      <x:c r="M237" s="68"/>
      <x:c r="N237" s="68"/>
      <x:c r="O237" s="68"/>
      <x:c r="P237" s="68"/>
      <x:c r="Q237" s="68"/>
      <x:c r="R237" s="68"/>
      <x:c r="S237" s="68"/>
      <x:c r="T237" s="68"/>
      <x:c r="U237" s="68"/>
      <x:c r="V237" s="68"/>
      <x:c r="W237" s="68"/>
      <x:c r="X237" s="68"/>
      <x:c r="Y237" s="68"/>
      <x:c r="Z237" s="68"/>
    </x:row>
    <x:row r="238">
      <x:c r="A238" s="68"/>
      <x:c r="B238" s="68"/>
      <x:c r="C238" s="68"/>
      <x:c r="D238" s="68"/>
      <x:c r="E238" s="68"/>
      <x:c r="F238" s="68"/>
      <x:c r="G238" s="68"/>
      <x:c r="H238" s="68"/>
      <x:c r="I238" s="68"/>
      <x:c r="J238" s="68"/>
      <x:c r="K238" s="68"/>
      <x:c r="L238" s="68"/>
      <x:c r="M238" s="68"/>
      <x:c r="N238" s="68"/>
      <x:c r="O238" s="68"/>
      <x:c r="P238" s="68"/>
      <x:c r="Q238" s="68"/>
      <x:c r="R238" s="68"/>
      <x:c r="S238" s="68"/>
      <x:c r="T238" s="68"/>
      <x:c r="U238" s="68"/>
      <x:c r="V238" s="68"/>
      <x:c r="W238" s="68"/>
      <x:c r="X238" s="68"/>
      <x:c r="Y238" s="68"/>
      <x:c r="Z238" s="68"/>
    </x:row>
    <x:row r="239">
      <x:c r="A239" s="68"/>
      <x:c r="B239" s="68"/>
      <x:c r="C239" s="68"/>
      <x:c r="D239" s="68"/>
      <x:c r="E239" s="68"/>
      <x:c r="F239" s="68"/>
      <x:c r="G239" s="68"/>
      <x:c r="H239" s="68"/>
      <x:c r="I239" s="68"/>
      <x:c r="J239" s="68"/>
      <x:c r="K239" s="68"/>
      <x:c r="L239" s="68"/>
      <x:c r="M239" s="68"/>
      <x:c r="N239" s="68"/>
      <x:c r="O239" s="68"/>
      <x:c r="P239" s="68"/>
      <x:c r="Q239" s="68"/>
      <x:c r="R239" s="68"/>
      <x:c r="S239" s="68"/>
      <x:c r="T239" s="68"/>
      <x:c r="U239" s="68"/>
      <x:c r="V239" s="68"/>
      <x:c r="W239" s="68"/>
      <x:c r="X239" s="68"/>
      <x:c r="Y239" s="68"/>
      <x:c r="Z239" s="68"/>
    </x:row>
    <x:row r="240">
      <x:c r="A240" s="68"/>
      <x:c r="B240" s="68"/>
      <x:c r="C240" s="68"/>
      <x:c r="D240" s="68"/>
      <x:c r="E240" s="68"/>
      <x:c r="F240" s="68"/>
      <x:c r="G240" s="68"/>
      <x:c r="H240" s="68"/>
      <x:c r="I240" s="68"/>
      <x:c r="J240" s="68"/>
      <x:c r="K240" s="68"/>
      <x:c r="L240" s="68"/>
      <x:c r="M240" s="68"/>
      <x:c r="N240" s="68"/>
      <x:c r="O240" s="68"/>
      <x:c r="P240" s="68"/>
      <x:c r="Q240" s="68"/>
      <x:c r="R240" s="68"/>
      <x:c r="S240" s="68"/>
      <x:c r="T240" s="68"/>
      <x:c r="U240" s="68"/>
      <x:c r="V240" s="68"/>
      <x:c r="W240" s="68"/>
      <x:c r="X240" s="68"/>
      <x:c r="Y240" s="68"/>
      <x:c r="Z240" s="68"/>
    </x:row>
    <x:row r="241">
      <x:c r="A241" s="68"/>
      <x:c r="B241" s="68"/>
      <x:c r="C241" s="68"/>
      <x:c r="D241" s="68"/>
      <x:c r="E241" s="68"/>
      <x:c r="F241" s="68"/>
      <x:c r="G241" s="68"/>
      <x:c r="H241" s="68"/>
      <x:c r="I241" s="68"/>
      <x:c r="J241" s="68"/>
      <x:c r="K241" s="68"/>
      <x:c r="L241" s="68"/>
      <x:c r="M241" s="68"/>
      <x:c r="N241" s="68"/>
      <x:c r="O241" s="68"/>
      <x:c r="P241" s="68"/>
      <x:c r="Q241" s="68"/>
      <x:c r="R241" s="68"/>
      <x:c r="S241" s="68"/>
      <x:c r="T241" s="68"/>
      <x:c r="U241" s="68"/>
      <x:c r="V241" s="68"/>
      <x:c r="W241" s="68"/>
      <x:c r="X241" s="68"/>
      <x:c r="Y241" s="68"/>
      <x:c r="Z241" s="68"/>
    </x:row>
    <x:row r="242">
      <x:c r="A242" s="68"/>
      <x:c r="B242" s="68"/>
      <x:c r="C242" s="68"/>
      <x:c r="D242" s="68"/>
      <x:c r="E242" s="68"/>
      <x:c r="F242" s="68"/>
      <x:c r="G242" s="68"/>
      <x:c r="H242" s="68"/>
      <x:c r="I242" s="68"/>
      <x:c r="J242" s="68"/>
      <x:c r="K242" s="68"/>
      <x:c r="L242" s="68"/>
      <x:c r="M242" s="68"/>
      <x:c r="N242" s="68"/>
      <x:c r="O242" s="68"/>
      <x:c r="P242" s="68"/>
      <x:c r="Q242" s="68"/>
      <x:c r="R242" s="68"/>
      <x:c r="S242" s="68"/>
      <x:c r="T242" s="68"/>
      <x:c r="U242" s="68"/>
      <x:c r="V242" s="68"/>
      <x:c r="W242" s="68"/>
      <x:c r="X242" s="68"/>
      <x:c r="Y242" s="68"/>
      <x:c r="Z242" s="68"/>
    </x:row>
    <x:row r="243">
      <x:c r="A243" s="68"/>
      <x:c r="B243" s="68"/>
      <x:c r="C243" s="68"/>
      <x:c r="D243" s="68"/>
      <x:c r="E243" s="68"/>
      <x:c r="F243" s="68"/>
      <x:c r="G243" s="68"/>
      <x:c r="H243" s="68"/>
      <x:c r="I243" s="68"/>
      <x:c r="J243" s="68"/>
      <x:c r="K243" s="68"/>
      <x:c r="L243" s="68"/>
      <x:c r="M243" s="68"/>
      <x:c r="N243" s="68"/>
      <x:c r="O243" s="68"/>
      <x:c r="P243" s="68"/>
      <x:c r="Q243" s="68"/>
      <x:c r="R243" s="68"/>
      <x:c r="S243" s="68"/>
      <x:c r="T243" s="68"/>
      <x:c r="U243" s="68"/>
      <x:c r="V243" s="68"/>
      <x:c r="W243" s="68"/>
      <x:c r="X243" s="68"/>
      <x:c r="Y243" s="68"/>
      <x:c r="Z243" s="68"/>
    </x:row>
    <x:row r="244">
      <x:c r="A244" s="68"/>
      <x:c r="B244" s="68"/>
      <x:c r="C244" s="68"/>
      <x:c r="D244" s="68"/>
      <x:c r="E244" s="68"/>
      <x:c r="F244" s="68"/>
      <x:c r="G244" s="68"/>
      <x:c r="H244" s="68"/>
      <x:c r="I244" s="68"/>
      <x:c r="J244" s="68"/>
      <x:c r="K244" s="68"/>
      <x:c r="L244" s="68"/>
      <x:c r="M244" s="68"/>
      <x:c r="N244" s="68"/>
      <x:c r="O244" s="68"/>
      <x:c r="P244" s="68"/>
      <x:c r="Q244" s="68"/>
      <x:c r="R244" s="68"/>
      <x:c r="S244" s="68"/>
      <x:c r="T244" s="68"/>
      <x:c r="U244" s="68"/>
      <x:c r="V244" s="68"/>
      <x:c r="W244" s="68"/>
      <x:c r="X244" s="68"/>
      <x:c r="Y244" s="68"/>
      <x:c r="Z244" s="68"/>
    </x:row>
    <x:row r="245">
      <x:c r="A245" s="68"/>
      <x:c r="B245" s="68"/>
      <x:c r="C245" s="68"/>
      <x:c r="D245" s="68"/>
      <x:c r="E245" s="68"/>
      <x:c r="F245" s="68"/>
      <x:c r="G245" s="68"/>
      <x:c r="H245" s="68"/>
      <x:c r="I245" s="68"/>
      <x:c r="J245" s="68"/>
      <x:c r="K245" s="68"/>
      <x:c r="L245" s="68"/>
      <x:c r="M245" s="68"/>
      <x:c r="N245" s="68"/>
      <x:c r="O245" s="68"/>
      <x:c r="P245" s="68"/>
      <x:c r="Q245" s="68"/>
      <x:c r="R245" s="68"/>
      <x:c r="S245" s="68"/>
      <x:c r="T245" s="68"/>
      <x:c r="U245" s="68"/>
      <x:c r="V245" s="68"/>
      <x:c r="W245" s="68"/>
      <x:c r="X245" s="68"/>
      <x:c r="Y245" s="68"/>
      <x:c r="Z245" s="68"/>
    </x:row>
    <x:row r="246">
      <x:c r="A246" s="68"/>
      <x:c r="B246" s="68"/>
      <x:c r="C246" s="68"/>
      <x:c r="D246" s="68"/>
      <x:c r="E246" s="68"/>
      <x:c r="F246" s="68"/>
      <x:c r="G246" s="68"/>
      <x:c r="H246" s="68"/>
      <x:c r="I246" s="68"/>
      <x:c r="J246" s="68"/>
      <x:c r="K246" s="68"/>
      <x:c r="L246" s="68"/>
      <x:c r="M246" s="68"/>
      <x:c r="N246" s="68"/>
      <x:c r="O246" s="68"/>
      <x:c r="P246" s="68"/>
      <x:c r="Q246" s="68"/>
      <x:c r="R246" s="68"/>
      <x:c r="S246" s="68"/>
      <x:c r="T246" s="68"/>
      <x:c r="U246" s="68"/>
      <x:c r="V246" s="68"/>
      <x:c r="W246" s="68"/>
      <x:c r="X246" s="68"/>
      <x:c r="Y246" s="68"/>
      <x:c r="Z246" s="68"/>
    </x:row>
    <x:row r="247">
      <x:c r="A247" s="68"/>
      <x:c r="B247" s="68"/>
      <x:c r="C247" s="68"/>
      <x:c r="D247" s="68"/>
      <x:c r="E247" s="68"/>
      <x:c r="F247" s="68"/>
      <x:c r="G247" s="68"/>
      <x:c r="H247" s="68"/>
      <x:c r="I247" s="68"/>
      <x:c r="J247" s="68"/>
      <x:c r="K247" s="68"/>
      <x:c r="L247" s="68"/>
      <x:c r="M247" s="68"/>
      <x:c r="N247" s="68"/>
      <x:c r="O247" s="68"/>
      <x:c r="P247" s="68"/>
      <x:c r="Q247" s="68"/>
      <x:c r="R247" s="68"/>
      <x:c r="S247" s="68"/>
      <x:c r="T247" s="68"/>
      <x:c r="U247" s="68"/>
      <x:c r="V247" s="68"/>
      <x:c r="W247" s="68"/>
      <x:c r="X247" s="68"/>
      <x:c r="Y247" s="68"/>
      <x:c r="Z247" s="68"/>
    </x:row>
    <x:row r="248">
      <x:c r="A248" s="68"/>
      <x:c r="B248" s="68"/>
      <x:c r="C248" s="68"/>
      <x:c r="D248" s="68"/>
      <x:c r="E248" s="68"/>
      <x:c r="F248" s="68"/>
      <x:c r="G248" s="68"/>
      <x:c r="H248" s="68"/>
      <x:c r="I248" s="68"/>
      <x:c r="J248" s="68"/>
      <x:c r="K248" s="68"/>
      <x:c r="L248" s="68"/>
      <x:c r="M248" s="68"/>
      <x:c r="N248" s="68"/>
      <x:c r="O248" s="68"/>
      <x:c r="P248" s="68"/>
      <x:c r="Q248" s="68"/>
      <x:c r="R248" s="68"/>
      <x:c r="S248" s="68"/>
      <x:c r="T248" s="68"/>
      <x:c r="U248" s="68"/>
      <x:c r="V248" s="68"/>
      <x:c r="W248" s="68"/>
      <x:c r="X248" s="68"/>
      <x:c r="Y248" s="68"/>
      <x:c r="Z248" s="68"/>
    </x:row>
    <x:row r="249">
      <x:c r="A249" s="68"/>
      <x:c r="B249" s="68"/>
      <x:c r="C249" s="68"/>
      <x:c r="D249" s="68"/>
      <x:c r="E249" s="68"/>
      <x:c r="F249" s="68"/>
      <x:c r="G249" s="68"/>
      <x:c r="H249" s="68"/>
      <x:c r="I249" s="68"/>
      <x:c r="J249" s="68"/>
      <x:c r="K249" s="68"/>
      <x:c r="L249" s="68"/>
      <x:c r="M249" s="68"/>
      <x:c r="N249" s="68"/>
      <x:c r="O249" s="68"/>
      <x:c r="P249" s="68"/>
      <x:c r="Q249" s="68"/>
      <x:c r="R249" s="68"/>
      <x:c r="S249" s="68"/>
      <x:c r="T249" s="68"/>
      <x:c r="U249" s="68"/>
      <x:c r="V249" s="68"/>
      <x:c r="W249" s="68"/>
      <x:c r="X249" s="68"/>
      <x:c r="Y249" s="68"/>
      <x:c r="Z249" s="68"/>
    </x:row>
    <x:row r="250">
      <x:c r="A250" s="68"/>
      <x:c r="B250" s="68"/>
      <x:c r="C250" s="68"/>
      <x:c r="D250" s="68"/>
      <x:c r="E250" s="68"/>
      <x:c r="F250" s="68"/>
      <x:c r="G250" s="68"/>
      <x:c r="H250" s="68"/>
      <x:c r="I250" s="68"/>
      <x:c r="J250" s="68"/>
      <x:c r="K250" s="68"/>
      <x:c r="L250" s="68"/>
      <x:c r="M250" s="68"/>
      <x:c r="N250" s="68"/>
      <x:c r="O250" s="68"/>
      <x:c r="P250" s="68"/>
      <x:c r="Q250" s="68"/>
      <x:c r="R250" s="68"/>
      <x:c r="S250" s="68"/>
      <x:c r="T250" s="68"/>
      <x:c r="U250" s="68"/>
      <x:c r="V250" s="68"/>
      <x:c r="W250" s="68"/>
      <x:c r="X250" s="68"/>
      <x:c r="Y250" s="68"/>
      <x:c r="Z250" s="68"/>
    </x:row>
    <x:row r="251">
      <x:c r="A251" s="68"/>
      <x:c r="B251" s="68"/>
      <x:c r="C251" s="68"/>
      <x:c r="D251" s="68"/>
      <x:c r="E251" s="68"/>
      <x:c r="F251" s="68"/>
      <x:c r="G251" s="68"/>
      <x:c r="H251" s="68"/>
      <x:c r="I251" s="68"/>
      <x:c r="J251" s="68"/>
      <x:c r="K251" s="68"/>
      <x:c r="L251" s="68"/>
      <x:c r="M251" s="68"/>
      <x:c r="N251" s="68"/>
      <x:c r="O251" s="68"/>
      <x:c r="P251" s="68"/>
      <x:c r="Q251" s="68"/>
      <x:c r="R251" s="68"/>
      <x:c r="S251" s="68"/>
      <x:c r="T251" s="68"/>
      <x:c r="U251" s="68"/>
      <x:c r="V251" s="68"/>
      <x:c r="W251" s="68"/>
      <x:c r="X251" s="68"/>
      <x:c r="Y251" s="68"/>
      <x:c r="Z251" s="68"/>
    </x:row>
    <x:row r="252">
      <x:c r="A252" s="68"/>
      <x:c r="B252" s="68"/>
      <x:c r="C252" s="68"/>
      <x:c r="D252" s="68"/>
      <x:c r="E252" s="68"/>
      <x:c r="F252" s="68"/>
      <x:c r="G252" s="68"/>
      <x:c r="H252" s="68"/>
      <x:c r="I252" s="68"/>
      <x:c r="J252" s="68"/>
      <x:c r="K252" s="68"/>
      <x:c r="L252" s="68"/>
      <x:c r="M252" s="68"/>
      <x:c r="N252" s="68"/>
      <x:c r="O252" s="68"/>
      <x:c r="P252" s="68"/>
      <x:c r="Q252" s="68"/>
      <x:c r="R252" s="68"/>
      <x:c r="S252" s="68"/>
      <x:c r="T252" s="68"/>
      <x:c r="U252" s="68"/>
      <x:c r="V252" s="68"/>
      <x:c r="W252" s="68"/>
      <x:c r="X252" s="68"/>
      <x:c r="Y252" s="68"/>
      <x:c r="Z252" s="68"/>
    </x:row>
    <x:row r="253">
      <x:c r="A253" s="68"/>
      <x:c r="B253" s="68"/>
      <x:c r="C253" s="68"/>
      <x:c r="D253" s="68"/>
      <x:c r="E253" s="68"/>
      <x:c r="F253" s="68"/>
      <x:c r="G253" s="68"/>
      <x:c r="H253" s="68"/>
      <x:c r="I253" s="68"/>
      <x:c r="J253" s="68"/>
      <x:c r="K253" s="68"/>
      <x:c r="L253" s="68"/>
      <x:c r="M253" s="68"/>
      <x:c r="N253" s="68"/>
      <x:c r="O253" s="68"/>
      <x:c r="P253" s="68"/>
      <x:c r="Q253" s="68"/>
      <x:c r="R253" s="68"/>
      <x:c r="S253" s="68"/>
      <x:c r="T253" s="68"/>
      <x:c r="U253" s="68"/>
      <x:c r="V253" s="68"/>
      <x:c r="W253" s="68"/>
      <x:c r="X253" s="68"/>
      <x:c r="Y253" s="68"/>
      <x:c r="Z253" s="68"/>
    </x:row>
    <x:row r="254">
      <x:c r="A254" s="68"/>
      <x:c r="B254" s="68"/>
      <x:c r="C254" s="68"/>
      <x:c r="D254" s="68"/>
      <x:c r="E254" s="68"/>
      <x:c r="F254" s="68"/>
      <x:c r="G254" s="68"/>
      <x:c r="H254" s="68"/>
      <x:c r="I254" s="68"/>
      <x:c r="J254" s="68"/>
      <x:c r="K254" s="68"/>
      <x:c r="L254" s="68"/>
      <x:c r="M254" s="68"/>
      <x:c r="N254" s="68"/>
      <x:c r="O254" s="68"/>
      <x:c r="P254" s="68"/>
      <x:c r="Q254" s="68"/>
      <x:c r="R254" s="68"/>
      <x:c r="S254" s="68"/>
      <x:c r="T254" s="68"/>
      <x:c r="U254" s="68"/>
      <x:c r="V254" s="68"/>
      <x:c r="W254" s="68"/>
      <x:c r="X254" s="68"/>
      <x:c r="Y254" s="68"/>
      <x:c r="Z254" s="68"/>
    </x:row>
    <x:row r="255">
      <x:c r="A255" s="68"/>
      <x:c r="B255" s="68"/>
      <x:c r="C255" s="68"/>
      <x:c r="D255" s="68"/>
      <x:c r="E255" s="68"/>
      <x:c r="F255" s="68"/>
      <x:c r="G255" s="68"/>
      <x:c r="H255" s="68"/>
      <x:c r="I255" s="68"/>
      <x:c r="J255" s="68"/>
      <x:c r="K255" s="68"/>
      <x:c r="L255" s="68"/>
      <x:c r="M255" s="68"/>
      <x:c r="N255" s="68"/>
      <x:c r="O255" s="68"/>
      <x:c r="P255" s="68"/>
      <x:c r="Q255" s="68"/>
      <x:c r="R255" s="68"/>
      <x:c r="S255" s="68"/>
      <x:c r="T255" s="68"/>
      <x:c r="U255" s="68"/>
      <x:c r="V255" s="68"/>
      <x:c r="W255" s="68"/>
      <x:c r="X255" s="68"/>
      <x:c r="Y255" s="68"/>
      <x:c r="Z255" s="68"/>
    </x:row>
    <x:row r="256">
      <x:c r="A256" s="68"/>
      <x:c r="B256" s="68"/>
      <x:c r="C256" s="68"/>
      <x:c r="D256" s="68"/>
      <x:c r="E256" s="68"/>
      <x:c r="F256" s="68"/>
      <x:c r="G256" s="68"/>
      <x:c r="H256" s="68"/>
      <x:c r="I256" s="68"/>
      <x:c r="J256" s="68"/>
      <x:c r="K256" s="68"/>
      <x:c r="L256" s="68"/>
      <x:c r="M256" s="68"/>
      <x:c r="N256" s="68"/>
      <x:c r="O256" s="68"/>
      <x:c r="P256" s="68"/>
      <x:c r="Q256" s="68"/>
      <x:c r="R256" s="68"/>
      <x:c r="S256" s="68"/>
      <x:c r="T256" s="68"/>
      <x:c r="U256" s="68"/>
      <x:c r="V256" s="68"/>
      <x:c r="W256" s="68"/>
      <x:c r="X256" s="68"/>
      <x:c r="Y256" s="68"/>
      <x:c r="Z256" s="68"/>
    </x:row>
    <x:row r="257">
      <x:c r="A257" s="68"/>
      <x:c r="B257" s="68"/>
      <x:c r="C257" s="68"/>
      <x:c r="D257" s="68"/>
      <x:c r="E257" s="68"/>
      <x:c r="F257" s="68"/>
      <x:c r="G257" s="68"/>
      <x:c r="H257" s="68"/>
      <x:c r="I257" s="68"/>
      <x:c r="J257" s="68"/>
      <x:c r="K257" s="68"/>
      <x:c r="L257" s="68"/>
      <x:c r="M257" s="68"/>
      <x:c r="N257" s="68"/>
      <x:c r="O257" s="68"/>
      <x:c r="P257" s="68"/>
      <x:c r="Q257" s="68"/>
      <x:c r="R257" s="68"/>
      <x:c r="S257" s="68"/>
      <x:c r="T257" s="68"/>
      <x:c r="U257" s="68"/>
      <x:c r="V257" s="68"/>
      <x:c r="W257" s="68"/>
      <x:c r="X257" s="68"/>
      <x:c r="Y257" s="68"/>
      <x:c r="Z257" s="68"/>
    </x:row>
    <x:row r="258">
      <x:c r="A258" s="68"/>
      <x:c r="B258" s="68"/>
      <x:c r="C258" s="68"/>
      <x:c r="D258" s="68"/>
      <x:c r="E258" s="68"/>
      <x:c r="F258" s="68"/>
      <x:c r="G258" s="68"/>
      <x:c r="H258" s="68"/>
      <x:c r="I258" s="68"/>
      <x:c r="J258" s="68"/>
      <x:c r="K258" s="68"/>
      <x:c r="L258" s="68"/>
      <x:c r="M258" s="68"/>
      <x:c r="N258" s="68"/>
      <x:c r="O258" s="68"/>
      <x:c r="P258" s="68"/>
      <x:c r="Q258" s="68"/>
      <x:c r="R258" s="68"/>
      <x:c r="S258" s="68"/>
      <x:c r="T258" s="68"/>
      <x:c r="U258" s="68"/>
      <x:c r="V258" s="68"/>
      <x:c r="W258" s="68"/>
      <x:c r="X258" s="68"/>
      <x:c r="Y258" s="68"/>
      <x:c r="Z258" s="68"/>
    </x:row>
    <x:row r="259">
      <x:c r="A259" s="68"/>
      <x:c r="B259" s="68"/>
      <x:c r="C259" s="68"/>
      <x:c r="D259" s="68"/>
      <x:c r="E259" s="68"/>
      <x:c r="F259" s="68"/>
      <x:c r="G259" s="68"/>
      <x:c r="H259" s="68"/>
      <x:c r="I259" s="68"/>
      <x:c r="J259" s="68"/>
      <x:c r="K259" s="68"/>
      <x:c r="L259" s="68"/>
      <x:c r="M259" s="68"/>
      <x:c r="N259" s="68"/>
      <x:c r="O259" s="68"/>
      <x:c r="P259" s="68"/>
      <x:c r="Q259" s="68"/>
      <x:c r="R259" s="68"/>
      <x:c r="S259" s="68"/>
      <x:c r="T259" s="68"/>
      <x:c r="U259" s="68"/>
      <x:c r="V259" s="68"/>
      <x:c r="W259" s="68"/>
      <x:c r="X259" s="68"/>
      <x:c r="Y259" s="68"/>
      <x:c r="Z259" s="68"/>
    </x:row>
    <x:row r="260">
      <x:c r="A260" s="68"/>
      <x:c r="B260" s="68"/>
      <x:c r="C260" s="68"/>
      <x:c r="D260" s="68"/>
      <x:c r="E260" s="68"/>
      <x:c r="F260" s="68"/>
      <x:c r="G260" s="68"/>
      <x:c r="H260" s="68"/>
      <x:c r="I260" s="68"/>
      <x:c r="J260" s="68"/>
      <x:c r="K260" s="68"/>
      <x:c r="L260" s="68"/>
      <x:c r="M260" s="68"/>
      <x:c r="N260" s="68"/>
      <x:c r="O260" s="68"/>
      <x:c r="P260" s="68"/>
      <x:c r="Q260" s="68"/>
      <x:c r="R260" s="68"/>
      <x:c r="S260" s="68"/>
      <x:c r="T260" s="68"/>
      <x:c r="U260" s="68"/>
      <x:c r="V260" s="68"/>
      <x:c r="W260" s="68"/>
      <x:c r="X260" s="68"/>
      <x:c r="Y260" s="68"/>
      <x:c r="Z260" s="68"/>
    </x:row>
    <x:row r="261">
      <x:c r="A261" s="68"/>
      <x:c r="B261" s="68"/>
      <x:c r="C261" s="68"/>
      <x:c r="D261" s="68"/>
      <x:c r="E261" s="68"/>
      <x:c r="F261" s="68"/>
      <x:c r="G261" s="68"/>
      <x:c r="H261" s="68"/>
      <x:c r="I261" s="68"/>
      <x:c r="J261" s="68"/>
      <x:c r="K261" s="68"/>
      <x:c r="L261" s="68"/>
      <x:c r="M261" s="68"/>
      <x:c r="N261" s="68"/>
      <x:c r="O261" s="68"/>
      <x:c r="P261" s="68"/>
      <x:c r="Q261" s="68"/>
      <x:c r="R261" s="68"/>
      <x:c r="S261" s="68"/>
      <x:c r="T261" s="68"/>
      <x:c r="U261" s="68"/>
      <x:c r="V261" s="68"/>
      <x:c r="W261" s="68"/>
      <x:c r="X261" s="68"/>
      <x:c r="Y261" s="68"/>
      <x:c r="Z261" s="68"/>
    </x:row>
    <x:row r="262">
      <x:c r="A262" s="68"/>
      <x:c r="B262" s="68"/>
      <x:c r="C262" s="68"/>
      <x:c r="D262" s="68"/>
      <x:c r="E262" s="68"/>
      <x:c r="F262" s="68"/>
      <x:c r="G262" s="68"/>
      <x:c r="H262" s="68"/>
      <x:c r="I262" s="68"/>
      <x:c r="J262" s="68"/>
      <x:c r="K262" s="68"/>
      <x:c r="L262" s="68"/>
      <x:c r="M262" s="68"/>
      <x:c r="N262" s="68"/>
      <x:c r="O262" s="68"/>
      <x:c r="P262" s="68"/>
      <x:c r="Q262" s="68"/>
      <x:c r="R262" s="68"/>
      <x:c r="S262" s="68"/>
      <x:c r="T262" s="68"/>
      <x:c r="U262" s="68"/>
      <x:c r="V262" s="68"/>
      <x:c r="W262" s="68"/>
      <x:c r="X262" s="68"/>
      <x:c r="Y262" s="68"/>
      <x:c r="Z262" s="68"/>
    </x:row>
    <x:row r="263">
      <x:c r="A263" s="68"/>
      <x:c r="B263" s="68"/>
      <x:c r="C263" s="68"/>
      <x:c r="D263" s="68"/>
      <x:c r="E263" s="68"/>
      <x:c r="F263" s="68"/>
      <x:c r="G263" s="68"/>
      <x:c r="H263" s="68"/>
      <x:c r="I263" s="68"/>
      <x:c r="J263" s="68"/>
      <x:c r="K263" s="68"/>
      <x:c r="L263" s="68"/>
      <x:c r="M263" s="68"/>
      <x:c r="N263" s="68"/>
      <x:c r="O263" s="68"/>
      <x:c r="P263" s="68"/>
      <x:c r="Q263" s="68"/>
      <x:c r="R263" s="68"/>
      <x:c r="S263" s="68"/>
      <x:c r="T263" s="68"/>
      <x:c r="U263" s="68"/>
      <x:c r="V263" s="68"/>
      <x:c r="W263" s="68"/>
      <x:c r="X263" s="68"/>
      <x:c r="Y263" s="68"/>
      <x:c r="Z263" s="68"/>
    </x:row>
    <x:row r="264">
      <x:c r="A264" s="68"/>
      <x:c r="B264" s="68"/>
      <x:c r="C264" s="68"/>
      <x:c r="D264" s="68"/>
      <x:c r="E264" s="68"/>
      <x:c r="F264" s="68"/>
      <x:c r="G264" s="68"/>
      <x:c r="H264" s="68"/>
      <x:c r="I264" s="68"/>
      <x:c r="J264" s="68"/>
      <x:c r="K264" s="68"/>
      <x:c r="L264" s="68"/>
      <x:c r="M264" s="68"/>
      <x:c r="N264" s="68"/>
      <x:c r="O264" s="68"/>
      <x:c r="P264" s="68"/>
      <x:c r="Q264" s="68"/>
      <x:c r="R264" s="68"/>
      <x:c r="S264" s="68"/>
      <x:c r="T264" s="68"/>
      <x:c r="U264" s="68"/>
      <x:c r="V264" s="68"/>
      <x:c r="W264" s="68"/>
      <x:c r="X264" s="68"/>
      <x:c r="Y264" s="68"/>
      <x:c r="Z264" s="68"/>
    </x:row>
    <x:row r="265">
      <x:c r="A265" s="68"/>
      <x:c r="B265" s="68"/>
      <x:c r="C265" s="68"/>
      <x:c r="D265" s="68"/>
      <x:c r="E265" s="68"/>
      <x:c r="F265" s="68"/>
      <x:c r="G265" s="68"/>
      <x:c r="H265" s="68"/>
      <x:c r="I265" s="68"/>
      <x:c r="J265" s="68"/>
      <x:c r="K265" s="68"/>
      <x:c r="L265" s="68"/>
      <x:c r="M265" s="68"/>
      <x:c r="N265" s="68"/>
      <x:c r="O265" s="68"/>
      <x:c r="P265" s="68"/>
      <x:c r="Q265" s="68"/>
      <x:c r="R265" s="68"/>
      <x:c r="S265" s="68"/>
      <x:c r="T265" s="68"/>
      <x:c r="U265" s="68"/>
      <x:c r="V265" s="68"/>
      <x:c r="W265" s="68"/>
      <x:c r="X265" s="68"/>
      <x:c r="Y265" s="68"/>
      <x:c r="Z265" s="68"/>
    </x:row>
    <x:row r="266">
      <x:c r="A266" s="68"/>
      <x:c r="B266" s="68"/>
      <x:c r="C266" s="68"/>
      <x:c r="D266" s="68"/>
      <x:c r="E266" s="68"/>
      <x:c r="F266" s="68"/>
      <x:c r="G266" s="68"/>
      <x:c r="H266" s="68"/>
      <x:c r="I266" s="68"/>
      <x:c r="J266" s="68"/>
      <x:c r="K266" s="68"/>
      <x:c r="L266" s="68"/>
      <x:c r="M266" s="68"/>
      <x:c r="N266" s="68"/>
      <x:c r="O266" s="68"/>
      <x:c r="P266" s="68"/>
      <x:c r="Q266" s="68"/>
      <x:c r="R266" s="68"/>
      <x:c r="S266" s="68"/>
      <x:c r="T266" s="68"/>
      <x:c r="U266" s="68"/>
      <x:c r="V266" s="68"/>
      <x:c r="W266" s="68"/>
      <x:c r="X266" s="68"/>
      <x:c r="Y266" s="68"/>
      <x:c r="Z266" s="68"/>
    </x:row>
    <x:row r="267">
      <x:c r="A267" s="68"/>
      <x:c r="B267" s="68"/>
      <x:c r="C267" s="68"/>
      <x:c r="D267" s="68"/>
      <x:c r="E267" s="68"/>
      <x:c r="F267" s="68"/>
      <x:c r="G267" s="68"/>
      <x:c r="H267" s="68"/>
      <x:c r="I267" s="68"/>
      <x:c r="J267" s="68"/>
      <x:c r="K267" s="68"/>
      <x:c r="L267" s="68"/>
      <x:c r="M267" s="68"/>
      <x:c r="N267" s="68"/>
      <x:c r="O267" s="68"/>
      <x:c r="P267" s="68"/>
      <x:c r="Q267" s="68"/>
      <x:c r="R267" s="68"/>
      <x:c r="S267" s="68"/>
      <x:c r="T267" s="68"/>
      <x:c r="U267" s="68"/>
      <x:c r="V267" s="68"/>
      <x:c r="W267" s="68"/>
      <x:c r="X267" s="68"/>
      <x:c r="Y267" s="68"/>
      <x:c r="Z267" s="68"/>
    </x:row>
    <x:row r="268">
      <x:c r="A268" s="68"/>
      <x:c r="B268" s="68"/>
      <x:c r="C268" s="68"/>
      <x:c r="D268" s="68"/>
      <x:c r="E268" s="68"/>
      <x:c r="F268" s="68"/>
      <x:c r="G268" s="68"/>
      <x:c r="H268" s="68"/>
      <x:c r="I268" s="68"/>
      <x:c r="J268" s="68"/>
      <x:c r="K268" s="68"/>
      <x:c r="L268" s="68"/>
      <x:c r="M268" s="68"/>
      <x:c r="N268" s="68"/>
      <x:c r="O268" s="68"/>
      <x:c r="P268" s="68"/>
      <x:c r="Q268" s="68"/>
      <x:c r="R268" s="68"/>
      <x:c r="S268" s="68"/>
      <x:c r="T268" s="68"/>
      <x:c r="U268" s="68"/>
      <x:c r="V268" s="68"/>
      <x:c r="W268" s="68"/>
      <x:c r="X268" s="68"/>
      <x:c r="Y268" s="68"/>
      <x:c r="Z268" s="68"/>
    </x:row>
    <x:row r="269">
      <x:c r="A269" s="68"/>
      <x:c r="B269" s="68"/>
      <x:c r="C269" s="68"/>
      <x:c r="D269" s="68"/>
      <x:c r="E269" s="68"/>
      <x:c r="F269" s="68"/>
      <x:c r="G269" s="68"/>
      <x:c r="H269" s="68"/>
      <x:c r="I269" s="68"/>
      <x:c r="J269" s="68"/>
      <x:c r="K269" s="68"/>
      <x:c r="L269" s="68"/>
      <x:c r="M269" s="68"/>
      <x:c r="N269" s="68"/>
      <x:c r="O269" s="68"/>
      <x:c r="P269" s="68"/>
      <x:c r="Q269" s="68"/>
      <x:c r="R269" s="68"/>
      <x:c r="S269" s="68"/>
      <x:c r="T269" s="68"/>
      <x:c r="U269" s="68"/>
      <x:c r="V269" s="68"/>
      <x:c r="W269" s="68"/>
      <x:c r="X269" s="68"/>
      <x:c r="Y269" s="68"/>
      <x:c r="Z269" s="68"/>
    </x:row>
    <x:row r="270">
      <x:c r="A270" s="68"/>
      <x:c r="B270" s="68"/>
      <x:c r="C270" s="68"/>
      <x:c r="D270" s="68"/>
      <x:c r="E270" s="68"/>
      <x:c r="F270" s="68"/>
      <x:c r="G270" s="68"/>
      <x:c r="H270" s="68"/>
      <x:c r="I270" s="68"/>
      <x:c r="J270" s="68"/>
      <x:c r="K270" s="68"/>
      <x:c r="L270" s="68"/>
      <x:c r="M270" s="68"/>
      <x:c r="N270" s="68"/>
      <x:c r="O270" s="68"/>
      <x:c r="P270" s="68"/>
      <x:c r="Q270" s="68"/>
      <x:c r="R270" s="68"/>
      <x:c r="S270" s="68"/>
      <x:c r="T270" s="68"/>
      <x:c r="U270" s="68"/>
      <x:c r="V270" s="68"/>
      <x:c r="W270" s="68"/>
      <x:c r="X270" s="68"/>
      <x:c r="Y270" s="68"/>
      <x:c r="Z270" s="68"/>
    </x:row>
    <x:row r="271">
      <x:c r="A271" s="68"/>
      <x:c r="B271" s="68"/>
      <x:c r="C271" s="68"/>
      <x:c r="D271" s="68"/>
      <x:c r="E271" s="68"/>
      <x:c r="F271" s="68"/>
      <x:c r="G271" s="68"/>
      <x:c r="H271" s="68"/>
      <x:c r="I271" s="68"/>
      <x:c r="J271" s="68"/>
      <x:c r="K271" s="68"/>
      <x:c r="L271" s="68"/>
      <x:c r="M271" s="68"/>
      <x:c r="N271" s="68"/>
      <x:c r="O271" s="68"/>
      <x:c r="P271" s="68"/>
      <x:c r="Q271" s="68"/>
      <x:c r="R271" s="68"/>
      <x:c r="S271" s="68"/>
      <x:c r="T271" s="68"/>
      <x:c r="U271" s="68"/>
      <x:c r="V271" s="68"/>
      <x:c r="W271" s="68"/>
      <x:c r="X271" s="68"/>
      <x:c r="Y271" s="68"/>
      <x:c r="Z271" s="68"/>
    </x:row>
    <x:row r="272">
      <x:c r="A272" s="68"/>
      <x:c r="B272" s="68"/>
      <x:c r="C272" s="68"/>
      <x:c r="D272" s="68"/>
      <x:c r="E272" s="68"/>
      <x:c r="F272" s="68"/>
      <x:c r="G272" s="68"/>
      <x:c r="H272" s="68"/>
      <x:c r="I272" s="68"/>
      <x:c r="J272" s="68"/>
      <x:c r="K272" s="68"/>
      <x:c r="L272" s="68"/>
      <x:c r="M272" s="68"/>
      <x:c r="N272" s="68"/>
      <x:c r="O272" s="68"/>
      <x:c r="P272" s="68"/>
      <x:c r="Q272" s="68"/>
      <x:c r="R272" s="68"/>
      <x:c r="S272" s="68"/>
      <x:c r="T272" s="68"/>
      <x:c r="U272" s="68"/>
      <x:c r="V272" s="68"/>
      <x:c r="W272" s="68"/>
      <x:c r="X272" s="68"/>
      <x:c r="Y272" s="68"/>
      <x:c r="Z272" s="68"/>
    </x:row>
    <x:row r="273">
      <x:c r="A273" s="68"/>
      <x:c r="B273" s="68"/>
      <x:c r="C273" s="68"/>
      <x:c r="D273" s="68"/>
      <x:c r="E273" s="68"/>
      <x:c r="F273" s="68"/>
      <x:c r="G273" s="68"/>
      <x:c r="H273" s="68"/>
      <x:c r="I273" s="68"/>
      <x:c r="J273" s="68"/>
      <x:c r="K273" s="68"/>
      <x:c r="L273" s="68"/>
      <x:c r="M273" s="68"/>
      <x:c r="N273" s="68"/>
      <x:c r="O273" s="68"/>
      <x:c r="P273" s="68"/>
      <x:c r="Q273" s="68"/>
      <x:c r="R273" s="68"/>
      <x:c r="S273" s="68"/>
      <x:c r="T273" s="68"/>
      <x:c r="U273" s="68"/>
      <x:c r="V273" s="68"/>
      <x:c r="W273" s="68"/>
      <x:c r="X273" s="68"/>
      <x:c r="Y273" s="68"/>
      <x:c r="Z273" s="68"/>
    </x:row>
    <x:row r="274">
      <x:c r="A274" s="68"/>
      <x:c r="B274" s="68"/>
      <x:c r="C274" s="68"/>
      <x:c r="D274" s="68"/>
      <x:c r="E274" s="68"/>
      <x:c r="F274" s="68"/>
      <x:c r="G274" s="68"/>
      <x:c r="H274" s="68"/>
      <x:c r="I274" s="68"/>
      <x:c r="J274" s="68"/>
      <x:c r="K274" s="68"/>
      <x:c r="L274" s="68"/>
      <x:c r="M274" s="68"/>
      <x:c r="N274" s="68"/>
      <x:c r="O274" s="68"/>
      <x:c r="P274" s="68"/>
      <x:c r="Q274" s="68"/>
      <x:c r="R274" s="68"/>
      <x:c r="S274" s="68"/>
      <x:c r="T274" s="68"/>
      <x:c r="U274" s="68"/>
      <x:c r="V274" s="68"/>
      <x:c r="W274" s="68"/>
      <x:c r="X274" s="68"/>
      <x:c r="Y274" s="68"/>
      <x:c r="Z274" s="68"/>
    </x:row>
    <x:row r="275">
      <x:c r="A275" s="68"/>
      <x:c r="B275" s="68"/>
      <x:c r="C275" s="68"/>
      <x:c r="D275" s="68"/>
      <x:c r="E275" s="68"/>
      <x:c r="F275" s="68"/>
      <x:c r="G275" s="68"/>
      <x:c r="H275" s="68"/>
      <x:c r="I275" s="68"/>
      <x:c r="J275" s="68"/>
      <x:c r="K275" s="68"/>
      <x:c r="L275" s="68"/>
      <x:c r="M275" s="68"/>
      <x:c r="N275" s="68"/>
      <x:c r="O275" s="68"/>
      <x:c r="P275" s="68"/>
      <x:c r="Q275" s="68"/>
      <x:c r="R275" s="68"/>
      <x:c r="S275" s="68"/>
      <x:c r="T275" s="68"/>
      <x:c r="U275" s="68"/>
      <x:c r="V275" s="68"/>
      <x:c r="W275" s="68"/>
      <x:c r="X275" s="68"/>
      <x:c r="Y275" s="68"/>
      <x:c r="Z275" s="68"/>
    </x:row>
    <x:row r="276">
      <x:c r="A276" s="68"/>
      <x:c r="B276" s="68"/>
      <x:c r="C276" s="68"/>
      <x:c r="D276" s="68"/>
      <x:c r="E276" s="68"/>
      <x:c r="F276" s="68"/>
      <x:c r="G276" s="68"/>
      <x:c r="H276" s="68"/>
      <x:c r="I276" s="68"/>
      <x:c r="J276" s="68"/>
      <x:c r="K276" s="68"/>
      <x:c r="L276" s="68"/>
      <x:c r="M276" s="68"/>
      <x:c r="N276" s="68"/>
      <x:c r="O276" s="68"/>
      <x:c r="P276" s="68"/>
      <x:c r="Q276" s="68"/>
      <x:c r="R276" s="68"/>
      <x:c r="S276" s="68"/>
      <x:c r="T276" s="68"/>
      <x:c r="U276" s="68"/>
      <x:c r="V276" s="68"/>
      <x:c r="W276" s="68"/>
      <x:c r="X276" s="68"/>
      <x:c r="Y276" s="68"/>
      <x:c r="Z276" s="68"/>
    </x:row>
    <x:row r="277">
      <x:c r="A277" s="68"/>
      <x:c r="B277" s="68"/>
      <x:c r="C277" s="68"/>
      <x:c r="D277" s="68"/>
      <x:c r="E277" s="68"/>
      <x:c r="F277" s="68"/>
      <x:c r="G277" s="68"/>
      <x:c r="H277" s="68"/>
      <x:c r="I277" s="68"/>
      <x:c r="J277" s="68"/>
      <x:c r="K277" s="68"/>
      <x:c r="L277" s="68"/>
      <x:c r="M277" s="68"/>
      <x:c r="N277" s="68"/>
      <x:c r="O277" s="68"/>
      <x:c r="P277" s="68"/>
      <x:c r="Q277" s="68"/>
      <x:c r="R277" s="68"/>
      <x:c r="S277" s="68"/>
      <x:c r="T277" s="68"/>
      <x:c r="U277" s="68"/>
      <x:c r="V277" s="68"/>
      <x:c r="W277" s="68"/>
      <x:c r="X277" s="68"/>
      <x:c r="Y277" s="68"/>
      <x:c r="Z277" s="68"/>
    </x:row>
    <x:row r="278">
      <x:c r="A278" s="68"/>
      <x:c r="B278" s="68"/>
      <x:c r="C278" s="68"/>
      <x:c r="D278" s="68"/>
      <x:c r="E278" s="68"/>
      <x:c r="F278" s="68"/>
      <x:c r="G278" s="68"/>
      <x:c r="H278" s="68"/>
      <x:c r="I278" s="68"/>
      <x:c r="J278" s="68"/>
      <x:c r="K278" s="68"/>
      <x:c r="L278" s="68"/>
      <x:c r="M278" s="68"/>
      <x:c r="N278" s="68"/>
      <x:c r="O278" s="68"/>
      <x:c r="P278" s="68"/>
      <x:c r="Q278" s="68"/>
      <x:c r="R278" s="68"/>
      <x:c r="S278" s="68"/>
      <x:c r="T278" s="68"/>
      <x:c r="U278" s="68"/>
      <x:c r="V278" s="68"/>
      <x:c r="W278" s="68"/>
      <x:c r="X278" s="68"/>
      <x:c r="Y278" s="68"/>
      <x:c r="Z278" s="68"/>
    </x:row>
    <x:row r="279">
      <x:c r="A279" s="68"/>
      <x:c r="B279" s="68"/>
      <x:c r="C279" s="68"/>
      <x:c r="D279" s="68"/>
      <x:c r="E279" s="68"/>
      <x:c r="F279" s="68"/>
      <x:c r="G279" s="68"/>
      <x:c r="H279" s="68"/>
      <x:c r="I279" s="68"/>
      <x:c r="J279" s="68"/>
      <x:c r="K279" s="68"/>
      <x:c r="L279" s="68"/>
      <x:c r="M279" s="68"/>
      <x:c r="N279" s="68"/>
      <x:c r="O279" s="68"/>
      <x:c r="P279" s="68"/>
      <x:c r="Q279" s="68"/>
      <x:c r="R279" s="68"/>
      <x:c r="S279" s="68"/>
      <x:c r="T279" s="68"/>
      <x:c r="U279" s="68"/>
      <x:c r="V279" s="68"/>
      <x:c r="W279" s="68"/>
      <x:c r="X279" s="68"/>
      <x:c r="Y279" s="68"/>
      <x:c r="Z279" s="68"/>
    </x:row>
    <x:row r="280">
      <x:c r="A280" s="68"/>
      <x:c r="B280" s="68"/>
      <x:c r="C280" s="68"/>
      <x:c r="D280" s="68"/>
      <x:c r="E280" s="68"/>
      <x:c r="F280" s="68"/>
      <x:c r="G280" s="68"/>
      <x:c r="H280" s="68"/>
      <x:c r="I280" s="68"/>
      <x:c r="J280" s="68"/>
      <x:c r="K280" s="68"/>
      <x:c r="L280" s="68"/>
      <x:c r="M280" s="68"/>
      <x:c r="N280" s="68"/>
      <x:c r="O280" s="68"/>
      <x:c r="P280" s="68"/>
      <x:c r="Q280" s="68"/>
      <x:c r="R280" s="68"/>
      <x:c r="S280" s="68"/>
      <x:c r="T280" s="68"/>
      <x:c r="U280" s="68"/>
      <x:c r="V280" s="68"/>
      <x:c r="W280" s="68"/>
      <x:c r="X280" s="68"/>
      <x:c r="Y280" s="68"/>
      <x:c r="Z280" s="68"/>
    </x:row>
    <x:row r="281">
      <x:c r="A281" s="68"/>
      <x:c r="B281" s="68"/>
      <x:c r="C281" s="68"/>
      <x:c r="D281" s="68"/>
      <x:c r="E281" s="68"/>
      <x:c r="F281" s="68"/>
      <x:c r="G281" s="68"/>
      <x:c r="H281" s="68"/>
      <x:c r="I281" s="68"/>
      <x:c r="J281" s="68"/>
      <x:c r="K281" s="68"/>
      <x:c r="L281" s="68"/>
      <x:c r="M281" s="68"/>
      <x:c r="N281" s="68"/>
      <x:c r="O281" s="68"/>
      <x:c r="P281" s="68"/>
      <x:c r="Q281" s="68"/>
      <x:c r="R281" s="68"/>
      <x:c r="S281" s="68"/>
      <x:c r="T281" s="68"/>
      <x:c r="U281" s="68"/>
      <x:c r="V281" s="68"/>
      <x:c r="W281" s="68"/>
      <x:c r="X281" s="68"/>
      <x:c r="Y281" s="68"/>
      <x:c r="Z281" s="68"/>
    </x:row>
    <x:row r="282">
      <x:c r="A282" s="68"/>
      <x:c r="B282" s="68"/>
      <x:c r="C282" s="68"/>
      <x:c r="D282" s="68"/>
      <x:c r="E282" s="68"/>
      <x:c r="F282" s="68"/>
      <x:c r="G282" s="68"/>
      <x:c r="H282" s="68"/>
      <x:c r="I282" s="68"/>
      <x:c r="J282" s="68"/>
      <x:c r="K282" s="68"/>
      <x:c r="L282" s="68"/>
      <x:c r="M282" s="68"/>
      <x:c r="N282" s="68"/>
      <x:c r="O282" s="68"/>
      <x:c r="P282" s="68"/>
      <x:c r="Q282" s="68"/>
      <x:c r="R282" s="68"/>
      <x:c r="S282" s="68"/>
      <x:c r="T282" s="68"/>
      <x:c r="U282" s="68"/>
      <x:c r="V282" s="68"/>
      <x:c r="W282" s="68"/>
      <x:c r="X282" s="68"/>
      <x:c r="Y282" s="68"/>
      <x:c r="Z282" s="68"/>
    </x:row>
    <x:row r="283">
      <x:c r="A283" s="68"/>
      <x:c r="B283" s="68"/>
      <x:c r="C283" s="68"/>
      <x:c r="D283" s="68"/>
      <x:c r="E283" s="68"/>
      <x:c r="F283" s="68"/>
      <x:c r="G283" s="68"/>
      <x:c r="H283" s="68"/>
      <x:c r="I283" s="68"/>
      <x:c r="J283" s="68"/>
      <x:c r="K283" s="68"/>
      <x:c r="L283" s="68"/>
      <x:c r="M283" s="68"/>
      <x:c r="N283" s="68"/>
      <x:c r="O283" s="68"/>
      <x:c r="P283" s="68"/>
      <x:c r="Q283" s="68"/>
      <x:c r="R283" s="68"/>
      <x:c r="S283" s="68"/>
      <x:c r="T283" s="68"/>
      <x:c r="U283" s="68"/>
      <x:c r="V283" s="68"/>
      <x:c r="W283" s="68"/>
      <x:c r="X283" s="68"/>
      <x:c r="Y283" s="68"/>
      <x:c r="Z283" s="68"/>
    </x:row>
    <x:row r="284">
      <x:c r="A284" s="68"/>
      <x:c r="B284" s="68"/>
      <x:c r="C284" s="68"/>
      <x:c r="D284" s="68"/>
      <x:c r="E284" s="68"/>
      <x:c r="F284" s="68"/>
      <x:c r="G284" s="68"/>
      <x:c r="H284" s="68"/>
      <x:c r="I284" s="68"/>
      <x:c r="J284" s="68"/>
      <x:c r="K284" s="68"/>
      <x:c r="L284" s="68"/>
      <x:c r="M284" s="68"/>
      <x:c r="N284" s="68"/>
      <x:c r="O284" s="68"/>
      <x:c r="P284" s="68"/>
      <x:c r="Q284" s="68"/>
      <x:c r="R284" s="68"/>
      <x:c r="S284" s="68"/>
      <x:c r="T284" s="68"/>
      <x:c r="U284" s="68"/>
      <x:c r="V284" s="68"/>
      <x:c r="W284" s="68"/>
      <x:c r="X284" s="68"/>
      <x:c r="Y284" s="68"/>
      <x:c r="Z284" s="68"/>
    </x:row>
    <x:row r="285">
      <x:c r="A285" s="68"/>
      <x:c r="B285" s="68"/>
      <x:c r="C285" s="68"/>
      <x:c r="D285" s="68"/>
      <x:c r="E285" s="68"/>
      <x:c r="F285" s="68"/>
      <x:c r="G285" s="68"/>
      <x:c r="H285" s="68"/>
      <x:c r="I285" s="68"/>
      <x:c r="J285" s="68"/>
      <x:c r="K285" s="68"/>
      <x:c r="L285" s="68"/>
      <x:c r="M285" s="68"/>
      <x:c r="N285" s="68"/>
      <x:c r="O285" s="68"/>
      <x:c r="P285" s="68"/>
      <x:c r="Q285" s="68"/>
      <x:c r="R285" s="68"/>
      <x:c r="S285" s="68"/>
      <x:c r="T285" s="68"/>
      <x:c r="U285" s="68"/>
      <x:c r="V285" s="68"/>
      <x:c r="W285" s="68"/>
      <x:c r="X285" s="68"/>
      <x:c r="Y285" s="68"/>
      <x:c r="Z285" s="68"/>
    </x:row>
    <x:row r="286">
      <x:c r="A286" s="68"/>
      <x:c r="B286" s="68"/>
      <x:c r="C286" s="68"/>
      <x:c r="D286" s="68"/>
      <x:c r="E286" s="68"/>
      <x:c r="F286" s="68"/>
      <x:c r="G286" s="68"/>
      <x:c r="H286" s="68"/>
      <x:c r="I286" s="68"/>
      <x:c r="J286" s="68"/>
      <x:c r="K286" s="68"/>
      <x:c r="L286" s="68"/>
      <x:c r="M286" s="68"/>
      <x:c r="N286" s="68"/>
      <x:c r="O286" s="68"/>
      <x:c r="P286" s="68"/>
      <x:c r="Q286" s="68"/>
      <x:c r="R286" s="68"/>
      <x:c r="S286" s="68"/>
      <x:c r="T286" s="68"/>
      <x:c r="U286" s="68"/>
      <x:c r="V286" s="68"/>
      <x:c r="W286" s="68"/>
      <x:c r="X286" s="68"/>
      <x:c r="Y286" s="68"/>
      <x:c r="Z286" s="68"/>
    </x:row>
    <x:row r="287">
      <x:c r="A287" s="68"/>
      <x:c r="B287" s="68"/>
      <x:c r="C287" s="68"/>
      <x:c r="D287" s="68"/>
      <x:c r="E287" s="68"/>
      <x:c r="F287" s="68"/>
      <x:c r="G287" s="68"/>
      <x:c r="H287" s="68"/>
      <x:c r="I287" s="68"/>
      <x:c r="J287" s="68"/>
      <x:c r="K287" s="68"/>
      <x:c r="L287" s="68"/>
      <x:c r="M287" s="68"/>
      <x:c r="N287" s="68"/>
      <x:c r="O287" s="68"/>
      <x:c r="P287" s="68"/>
      <x:c r="Q287" s="68"/>
      <x:c r="R287" s="68"/>
      <x:c r="S287" s="68"/>
      <x:c r="T287" s="68"/>
      <x:c r="U287" s="68"/>
      <x:c r="V287" s="68"/>
      <x:c r="W287" s="68"/>
      <x:c r="X287" s="68"/>
      <x:c r="Y287" s="68"/>
      <x:c r="Z287" s="68"/>
    </x:row>
    <x:row r="288">
      <x:c r="A288" s="68"/>
      <x:c r="B288" s="68"/>
      <x:c r="C288" s="68"/>
      <x:c r="D288" s="68"/>
      <x:c r="E288" s="68"/>
      <x:c r="F288" s="68"/>
      <x:c r="G288" s="68"/>
      <x:c r="H288" s="68"/>
      <x:c r="I288" s="68"/>
      <x:c r="J288" s="68"/>
      <x:c r="K288" s="68"/>
      <x:c r="L288" s="68"/>
      <x:c r="M288" s="68"/>
      <x:c r="N288" s="68"/>
      <x:c r="O288" s="68"/>
      <x:c r="P288" s="68"/>
      <x:c r="Q288" s="68"/>
      <x:c r="R288" s="68"/>
      <x:c r="S288" s="68"/>
      <x:c r="T288" s="68"/>
      <x:c r="U288" s="68"/>
      <x:c r="V288" s="68"/>
      <x:c r="W288" s="68"/>
      <x:c r="X288" s="68"/>
      <x:c r="Y288" s="68"/>
      <x:c r="Z288" s="68"/>
    </x:row>
    <x:row r="289">
      <x:c r="A289" s="68"/>
      <x:c r="B289" s="68"/>
      <x:c r="C289" s="68"/>
      <x:c r="D289" s="68"/>
      <x:c r="E289" s="68"/>
      <x:c r="F289" s="68"/>
      <x:c r="G289" s="68"/>
      <x:c r="H289" s="68"/>
      <x:c r="I289" s="68"/>
      <x:c r="J289" s="68"/>
      <x:c r="K289" s="68"/>
      <x:c r="L289" s="68"/>
      <x:c r="M289" s="68"/>
      <x:c r="N289" s="68"/>
      <x:c r="O289" s="68"/>
      <x:c r="P289" s="68"/>
      <x:c r="Q289" s="68"/>
      <x:c r="R289" s="68"/>
      <x:c r="S289" s="68"/>
      <x:c r="T289" s="68"/>
      <x:c r="U289" s="68"/>
      <x:c r="V289" s="68"/>
      <x:c r="W289" s="68"/>
      <x:c r="X289" s="68"/>
      <x:c r="Y289" s="68"/>
      <x:c r="Z289" s="68"/>
    </x:row>
    <x:row r="290">
      <x:c r="A290" s="68"/>
      <x:c r="B290" s="68"/>
      <x:c r="C290" s="68"/>
      <x:c r="D290" s="68"/>
      <x:c r="E290" s="68"/>
      <x:c r="F290" s="68"/>
      <x:c r="G290" s="68"/>
      <x:c r="H290" s="68"/>
      <x:c r="I290" s="68"/>
      <x:c r="J290" s="68"/>
      <x:c r="K290" s="68"/>
      <x:c r="L290" s="68"/>
      <x:c r="M290" s="68"/>
      <x:c r="N290" s="68"/>
      <x:c r="O290" s="68"/>
      <x:c r="P290" s="68"/>
      <x:c r="Q290" s="68"/>
      <x:c r="R290" s="68"/>
      <x:c r="S290" s="68"/>
      <x:c r="T290" s="68"/>
      <x:c r="U290" s="68"/>
      <x:c r="V290" s="68"/>
      <x:c r="W290" s="68"/>
      <x:c r="X290" s="68"/>
      <x:c r="Y290" s="68"/>
      <x:c r="Z290" s="68"/>
    </x:row>
    <x:row r="291">
      <x:c r="A291" s="68"/>
      <x:c r="B291" s="68"/>
      <x:c r="C291" s="68"/>
      <x:c r="D291" s="68"/>
      <x:c r="E291" s="68"/>
      <x:c r="F291" s="68"/>
      <x:c r="G291" s="68"/>
      <x:c r="H291" s="68"/>
      <x:c r="I291" s="68"/>
      <x:c r="J291" s="68"/>
      <x:c r="K291" s="68"/>
      <x:c r="L291" s="68"/>
      <x:c r="M291" s="68"/>
      <x:c r="N291" s="68"/>
      <x:c r="O291" s="68"/>
      <x:c r="P291" s="68"/>
      <x:c r="Q291" s="68"/>
      <x:c r="R291" s="68"/>
      <x:c r="S291" s="68"/>
      <x:c r="T291" s="68"/>
      <x:c r="U291" s="68"/>
      <x:c r="V291" s="68"/>
      <x:c r="W291" s="68"/>
      <x:c r="X291" s="68"/>
      <x:c r="Y291" s="68"/>
      <x:c r="Z291" s="68"/>
    </x:row>
    <x:row r="292">
      <x:c r="A292" s="68"/>
      <x:c r="B292" s="68"/>
      <x:c r="C292" s="68"/>
      <x:c r="D292" s="68"/>
      <x:c r="E292" s="68"/>
      <x:c r="F292" s="68"/>
      <x:c r="G292" s="68"/>
      <x:c r="H292" s="68"/>
      <x:c r="I292" s="68"/>
      <x:c r="J292" s="68"/>
      <x:c r="K292" s="68"/>
      <x:c r="L292" s="68"/>
      <x:c r="M292" s="68"/>
      <x:c r="N292" s="68"/>
      <x:c r="O292" s="68"/>
      <x:c r="P292" s="68"/>
      <x:c r="Q292" s="68"/>
      <x:c r="R292" s="68"/>
      <x:c r="S292" s="68"/>
      <x:c r="T292" s="68"/>
      <x:c r="U292" s="68"/>
      <x:c r="V292" s="68"/>
      <x:c r="W292" s="68"/>
      <x:c r="X292" s="68"/>
      <x:c r="Y292" s="68"/>
      <x:c r="Z292" s="68"/>
    </x:row>
    <x:row r="293">
      <x:c r="A293" s="68"/>
      <x:c r="B293" s="68"/>
      <x:c r="C293" s="68"/>
      <x:c r="D293" s="68"/>
      <x:c r="E293" s="68"/>
      <x:c r="F293" s="68"/>
      <x:c r="G293" s="68"/>
      <x:c r="H293" s="68"/>
      <x:c r="I293" s="68"/>
      <x:c r="J293" s="68"/>
      <x:c r="K293" s="68"/>
      <x:c r="L293" s="68"/>
      <x:c r="M293" s="68"/>
      <x:c r="N293" s="68"/>
      <x:c r="O293" s="68"/>
      <x:c r="P293" s="68"/>
      <x:c r="Q293" s="68"/>
      <x:c r="R293" s="68"/>
      <x:c r="S293" s="68"/>
      <x:c r="T293" s="68"/>
      <x:c r="U293" s="68"/>
      <x:c r="V293" s="68"/>
      <x:c r="W293" s="68"/>
      <x:c r="X293" s="68"/>
      <x:c r="Y293" s="68"/>
      <x:c r="Z293" s="68"/>
    </x:row>
    <x:row r="294">
      <x:c r="A294" s="68"/>
      <x:c r="B294" s="68"/>
      <x:c r="C294" s="68"/>
      <x:c r="D294" s="68"/>
      <x:c r="E294" s="68"/>
      <x:c r="F294" s="68"/>
      <x:c r="G294" s="68"/>
      <x:c r="H294" s="68"/>
      <x:c r="I294" s="68"/>
      <x:c r="J294" s="68"/>
      <x:c r="K294" s="68"/>
      <x:c r="L294" s="68"/>
      <x:c r="M294" s="68"/>
      <x:c r="N294" s="68"/>
      <x:c r="O294" s="68"/>
      <x:c r="P294" s="68"/>
      <x:c r="Q294" s="68"/>
      <x:c r="R294" s="68"/>
      <x:c r="S294" s="68"/>
      <x:c r="T294" s="68"/>
      <x:c r="U294" s="68"/>
      <x:c r="V294" s="68"/>
      <x:c r="W294" s="68"/>
      <x:c r="X294" s="68"/>
      <x:c r="Y294" s="68"/>
      <x:c r="Z294" s="68"/>
    </x:row>
    <x:row r="295">
      <x:c r="A295" s="68"/>
      <x:c r="B295" s="68"/>
      <x:c r="C295" s="68"/>
      <x:c r="D295" s="68"/>
      <x:c r="E295" s="68"/>
      <x:c r="F295" s="68"/>
      <x:c r="G295" s="68"/>
      <x:c r="H295" s="68"/>
      <x:c r="I295" s="68"/>
      <x:c r="J295" s="68"/>
      <x:c r="K295" s="68"/>
      <x:c r="L295" s="68"/>
      <x:c r="M295" s="68"/>
      <x:c r="N295" s="68"/>
      <x:c r="O295" s="68"/>
      <x:c r="P295" s="68"/>
      <x:c r="Q295" s="68"/>
      <x:c r="R295" s="68"/>
      <x:c r="S295" s="68"/>
      <x:c r="T295" s="68"/>
      <x:c r="U295" s="68"/>
      <x:c r="V295" s="68"/>
      <x:c r="W295" s="68"/>
      <x:c r="X295" s="68"/>
      <x:c r="Y295" s="68"/>
      <x:c r="Z295" s="68"/>
    </x:row>
    <x:row r="296">
      <x:c r="A296" s="68"/>
      <x:c r="B296" s="68"/>
      <x:c r="C296" s="68"/>
      <x:c r="D296" s="68"/>
      <x:c r="E296" s="68"/>
      <x:c r="F296" s="68"/>
      <x:c r="G296" s="68"/>
      <x:c r="H296" s="68"/>
      <x:c r="I296" s="68"/>
      <x:c r="J296" s="68"/>
      <x:c r="K296" s="68"/>
      <x:c r="L296" s="68"/>
      <x:c r="M296" s="68"/>
      <x:c r="N296" s="68"/>
      <x:c r="O296" s="68"/>
      <x:c r="P296" s="68"/>
      <x:c r="Q296" s="68"/>
      <x:c r="R296" s="68"/>
      <x:c r="S296" s="68"/>
      <x:c r="T296" s="68"/>
      <x:c r="U296" s="68"/>
      <x:c r="V296" s="68"/>
      <x:c r="W296" s="68"/>
      <x:c r="X296" s="68"/>
      <x:c r="Y296" s="68"/>
      <x:c r="Z296" s="68"/>
    </x:row>
    <x:row r="297">
      <x:c r="A297" s="68"/>
      <x:c r="B297" s="68"/>
      <x:c r="C297" s="68"/>
      <x:c r="D297" s="68"/>
      <x:c r="E297" s="68"/>
      <x:c r="F297" s="68"/>
      <x:c r="G297" s="68"/>
      <x:c r="H297" s="68"/>
      <x:c r="I297" s="68"/>
      <x:c r="J297" s="68"/>
      <x:c r="K297" s="68"/>
      <x:c r="L297" s="68"/>
      <x:c r="M297" s="68"/>
      <x:c r="N297" s="68"/>
      <x:c r="O297" s="68"/>
      <x:c r="P297" s="68"/>
      <x:c r="Q297" s="68"/>
      <x:c r="R297" s="68"/>
      <x:c r="S297" s="68"/>
      <x:c r="T297" s="68"/>
      <x:c r="U297" s="68"/>
      <x:c r="V297" s="68"/>
      <x:c r="W297" s="68"/>
      <x:c r="X297" s="68"/>
      <x:c r="Y297" s="68"/>
      <x:c r="Z297" s="68"/>
    </x:row>
    <x:row r="298">
      <x:c r="A298" s="68"/>
      <x:c r="B298" s="68"/>
      <x:c r="C298" s="68"/>
      <x:c r="D298" s="68"/>
      <x:c r="E298" s="68"/>
      <x:c r="F298" s="68"/>
      <x:c r="G298" s="68"/>
      <x:c r="H298" s="68"/>
      <x:c r="I298" s="68"/>
      <x:c r="J298" s="68"/>
      <x:c r="K298" s="68"/>
      <x:c r="L298" s="68"/>
      <x:c r="M298" s="68"/>
      <x:c r="N298" s="68"/>
      <x:c r="O298" s="68"/>
      <x:c r="P298" s="68"/>
      <x:c r="Q298" s="68"/>
      <x:c r="R298" s="68"/>
      <x:c r="S298" s="68"/>
      <x:c r="T298" s="68"/>
      <x:c r="U298" s="68"/>
      <x:c r="V298" s="68"/>
      <x:c r="W298" s="68"/>
      <x:c r="X298" s="68"/>
      <x:c r="Y298" s="68"/>
      <x:c r="Z298" s="68"/>
    </x:row>
    <x:row r="299">
      <x:c r="A299" s="68"/>
      <x:c r="B299" s="68"/>
      <x:c r="C299" s="68"/>
      <x:c r="D299" s="68"/>
      <x:c r="E299" s="68"/>
      <x:c r="F299" s="68"/>
      <x:c r="G299" s="68"/>
      <x:c r="H299" s="68"/>
      <x:c r="I299" s="68"/>
      <x:c r="J299" s="68"/>
      <x:c r="K299" s="68"/>
      <x:c r="L299" s="68"/>
      <x:c r="M299" s="68"/>
      <x:c r="N299" s="68"/>
      <x:c r="O299" s="68"/>
      <x:c r="P299" s="68"/>
      <x:c r="Q299" s="68"/>
      <x:c r="R299" s="68"/>
      <x:c r="S299" s="68"/>
      <x:c r="T299" s="68"/>
      <x:c r="U299" s="68"/>
      <x:c r="V299" s="68"/>
      <x:c r="W299" s="68"/>
      <x:c r="X299" s="68"/>
      <x:c r="Y299" s="68"/>
      <x:c r="Z299" s="68"/>
    </x:row>
    <x:row r="300">
      <x:c r="A300" s="68"/>
      <x:c r="B300" s="68"/>
      <x:c r="C300" s="68"/>
      <x:c r="D300" s="68"/>
      <x:c r="E300" s="68"/>
      <x:c r="F300" s="68"/>
      <x:c r="G300" s="68"/>
      <x:c r="H300" s="68"/>
      <x:c r="I300" s="68"/>
      <x:c r="J300" s="68"/>
      <x:c r="K300" s="68"/>
      <x:c r="L300" s="68"/>
      <x:c r="M300" s="68"/>
      <x:c r="N300" s="68"/>
      <x:c r="O300" s="68"/>
      <x:c r="P300" s="68"/>
      <x:c r="Q300" s="68"/>
      <x:c r="R300" s="68"/>
      <x:c r="S300" s="68"/>
      <x:c r="T300" s="68"/>
      <x:c r="U300" s="68"/>
      <x:c r="V300" s="68"/>
      <x:c r="W300" s="68"/>
      <x:c r="X300" s="68"/>
      <x:c r="Y300" s="68"/>
      <x:c r="Z300" s="68"/>
    </x:row>
    <x:row r="301">
      <x:c r="A301" s="68"/>
      <x:c r="B301" s="68"/>
      <x:c r="C301" s="68"/>
      <x:c r="D301" s="68"/>
      <x:c r="E301" s="68"/>
      <x:c r="F301" s="68"/>
      <x:c r="G301" s="68"/>
      <x:c r="H301" s="68"/>
      <x:c r="I301" s="68"/>
      <x:c r="J301" s="68"/>
      <x:c r="K301" s="68"/>
      <x:c r="L301" s="68"/>
      <x:c r="M301" s="68"/>
      <x:c r="N301" s="68"/>
      <x:c r="O301" s="68"/>
      <x:c r="P301" s="68"/>
      <x:c r="Q301" s="68"/>
      <x:c r="R301" s="68"/>
      <x:c r="S301" s="68"/>
      <x:c r="T301" s="68"/>
      <x:c r="U301" s="68"/>
      <x:c r="V301" s="68"/>
      <x:c r="W301" s="68"/>
      <x:c r="X301" s="68"/>
      <x:c r="Y301" s="68"/>
      <x:c r="Z301" s="68"/>
    </x:row>
    <x:row r="302">
      <x:c r="A302" s="68"/>
      <x:c r="B302" s="68"/>
      <x:c r="C302" s="68"/>
      <x:c r="D302" s="68"/>
      <x:c r="E302" s="68"/>
      <x:c r="F302" s="68"/>
      <x:c r="G302" s="68"/>
      <x:c r="H302" s="68"/>
      <x:c r="I302" s="68"/>
      <x:c r="J302" s="68"/>
      <x:c r="K302" s="68"/>
      <x:c r="L302" s="68"/>
      <x:c r="M302" s="68"/>
      <x:c r="N302" s="68"/>
      <x:c r="O302" s="68"/>
      <x:c r="P302" s="68"/>
      <x:c r="Q302" s="68"/>
      <x:c r="R302" s="68"/>
      <x:c r="S302" s="68"/>
      <x:c r="T302" s="68"/>
      <x:c r="U302" s="68"/>
      <x:c r="V302" s="68"/>
      <x:c r="W302" s="68"/>
      <x:c r="X302" s="68"/>
      <x:c r="Y302" s="68"/>
      <x:c r="Z302" s="68"/>
    </x:row>
    <x:row r="303">
      <x:c r="A303" s="68"/>
      <x:c r="B303" s="68"/>
      <x:c r="C303" s="68"/>
      <x:c r="D303" s="68"/>
      <x:c r="E303" s="68"/>
      <x:c r="F303" s="68"/>
      <x:c r="G303" s="68"/>
      <x:c r="H303" s="68"/>
      <x:c r="I303" s="68"/>
      <x:c r="J303" s="68"/>
      <x:c r="K303" s="68"/>
      <x:c r="L303" s="68"/>
      <x:c r="M303" s="68"/>
      <x:c r="N303" s="68"/>
      <x:c r="O303" s="68"/>
      <x:c r="P303" s="68"/>
      <x:c r="Q303" s="68"/>
      <x:c r="R303" s="68"/>
      <x:c r="S303" s="68"/>
      <x:c r="T303" s="68"/>
      <x:c r="U303" s="68"/>
      <x:c r="V303" s="68"/>
      <x:c r="W303" s="68"/>
      <x:c r="X303" s="68"/>
      <x:c r="Y303" s="68"/>
      <x:c r="Z303" s="68"/>
    </x:row>
    <x:row r="304">
      <x:c r="A304" s="68"/>
      <x:c r="B304" s="68"/>
      <x:c r="C304" s="68"/>
      <x:c r="D304" s="68"/>
      <x:c r="E304" s="68"/>
      <x:c r="F304" s="68"/>
      <x:c r="G304" s="68"/>
      <x:c r="H304" s="68"/>
      <x:c r="I304" s="68"/>
      <x:c r="J304" s="68"/>
      <x:c r="K304" s="68"/>
      <x:c r="L304" s="68"/>
      <x:c r="M304" s="68"/>
      <x:c r="N304" s="68"/>
      <x:c r="O304" s="68"/>
      <x:c r="P304" s="68"/>
      <x:c r="Q304" s="68"/>
      <x:c r="R304" s="68"/>
      <x:c r="S304" s="68"/>
      <x:c r="T304" s="68"/>
      <x:c r="U304" s="68"/>
      <x:c r="V304" s="68"/>
      <x:c r="W304" s="68"/>
      <x:c r="X304" s="68"/>
      <x:c r="Y304" s="68"/>
      <x:c r="Z304" s="68"/>
    </x:row>
    <x:row r="305">
      <x:c r="A305" s="68"/>
      <x:c r="B305" s="68"/>
      <x:c r="C305" s="68"/>
      <x:c r="D305" s="68"/>
      <x:c r="E305" s="68"/>
      <x:c r="F305" s="68"/>
      <x:c r="G305" s="68"/>
      <x:c r="H305" s="68"/>
      <x:c r="I305" s="68"/>
      <x:c r="J305" s="68"/>
      <x:c r="K305" s="68"/>
      <x:c r="L305" s="68"/>
      <x:c r="M305" s="68"/>
      <x:c r="N305" s="68"/>
      <x:c r="O305" s="68"/>
      <x:c r="P305" s="68"/>
      <x:c r="Q305" s="68"/>
      <x:c r="R305" s="68"/>
      <x:c r="S305" s="68"/>
      <x:c r="T305" s="68"/>
      <x:c r="U305" s="68"/>
      <x:c r="V305" s="68"/>
      <x:c r="W305" s="68"/>
      <x:c r="X305" s="68"/>
      <x:c r="Y305" s="68"/>
      <x:c r="Z305" s="68"/>
    </x:row>
    <x:row r="306">
      <x:c r="A306" s="68"/>
      <x:c r="B306" s="68"/>
      <x:c r="C306" s="68"/>
      <x:c r="D306" s="68"/>
      <x:c r="E306" s="68"/>
      <x:c r="F306" s="68"/>
      <x:c r="G306" s="68"/>
      <x:c r="H306" s="68"/>
      <x:c r="I306" s="68"/>
      <x:c r="J306" s="68"/>
      <x:c r="K306" s="68"/>
      <x:c r="L306" s="68"/>
      <x:c r="M306" s="68"/>
      <x:c r="N306" s="68"/>
      <x:c r="O306" s="68"/>
      <x:c r="P306" s="68"/>
      <x:c r="Q306" s="68"/>
      <x:c r="R306" s="68"/>
      <x:c r="S306" s="68"/>
      <x:c r="T306" s="68"/>
      <x:c r="U306" s="68"/>
      <x:c r="V306" s="68"/>
      <x:c r="W306" s="68"/>
      <x:c r="X306" s="68"/>
      <x:c r="Y306" s="68"/>
      <x:c r="Z306" s="68"/>
    </x:row>
    <x:row r="307">
      <x:c r="A307" s="68"/>
      <x:c r="B307" s="68"/>
      <x:c r="C307" s="68"/>
      <x:c r="D307" s="68"/>
      <x:c r="E307" s="68"/>
      <x:c r="F307" s="68"/>
      <x:c r="G307" s="68"/>
      <x:c r="H307" s="68"/>
      <x:c r="I307" s="68"/>
      <x:c r="J307" s="68"/>
      <x:c r="K307" s="68"/>
      <x:c r="L307" s="68"/>
      <x:c r="M307" s="68"/>
      <x:c r="N307" s="68"/>
      <x:c r="O307" s="68"/>
      <x:c r="P307" s="68"/>
      <x:c r="Q307" s="68"/>
      <x:c r="R307" s="68"/>
      <x:c r="S307" s="68"/>
      <x:c r="T307" s="68"/>
      <x:c r="U307" s="68"/>
      <x:c r="V307" s="68"/>
      <x:c r="W307" s="68"/>
      <x:c r="X307" s="68"/>
      <x:c r="Y307" s="68"/>
      <x:c r="Z307" s="68"/>
    </x:row>
    <x:row r="308">
      <x:c r="A308" s="68"/>
      <x:c r="B308" s="68"/>
      <x:c r="C308" s="68"/>
      <x:c r="D308" s="68"/>
      <x:c r="E308" s="68"/>
      <x:c r="F308" s="68"/>
      <x:c r="G308" s="68"/>
      <x:c r="H308" s="68"/>
      <x:c r="I308" s="68"/>
      <x:c r="J308" s="68"/>
      <x:c r="K308" s="68"/>
      <x:c r="L308" s="68"/>
      <x:c r="M308" s="68"/>
      <x:c r="N308" s="68"/>
      <x:c r="O308" s="68"/>
      <x:c r="P308" s="68"/>
      <x:c r="Q308" s="68"/>
      <x:c r="R308" s="68"/>
      <x:c r="S308" s="68"/>
      <x:c r="T308" s="68"/>
      <x:c r="U308" s="68"/>
      <x:c r="V308" s="68"/>
      <x:c r="W308" s="68"/>
      <x:c r="X308" s="68"/>
      <x:c r="Y308" s="68"/>
      <x:c r="Z308" s="68"/>
    </x:row>
    <x:row r="309">
      <x:c r="A309" s="68"/>
      <x:c r="B309" s="68"/>
      <x:c r="C309" s="68"/>
      <x:c r="D309" s="68"/>
      <x:c r="E309" s="68"/>
      <x:c r="F309" s="68"/>
      <x:c r="G309" s="68"/>
      <x:c r="H309" s="68"/>
      <x:c r="I309" s="68"/>
      <x:c r="J309" s="68"/>
      <x:c r="K309" s="68"/>
      <x:c r="L309" s="68"/>
      <x:c r="M309" s="68"/>
      <x:c r="N309" s="68"/>
      <x:c r="O309" s="68"/>
      <x:c r="P309" s="68"/>
      <x:c r="Q309" s="68"/>
      <x:c r="R309" s="68"/>
      <x:c r="S309" s="68"/>
      <x:c r="T309" s="68"/>
      <x:c r="U309" s="68"/>
      <x:c r="V309" s="68"/>
      <x:c r="W309" s="68"/>
      <x:c r="X309" s="68"/>
      <x:c r="Y309" s="68"/>
      <x:c r="Z309" s="68"/>
    </x:row>
    <x:row r="310">
      <x:c r="A310" s="68"/>
      <x:c r="B310" s="68"/>
      <x:c r="C310" s="68"/>
      <x:c r="D310" s="68"/>
      <x:c r="E310" s="68"/>
      <x:c r="F310" s="68"/>
      <x:c r="G310" s="68"/>
      <x:c r="H310" s="68"/>
      <x:c r="I310" s="68"/>
      <x:c r="J310" s="68"/>
      <x:c r="K310" s="68"/>
      <x:c r="L310" s="68"/>
      <x:c r="M310" s="68"/>
      <x:c r="N310" s="68"/>
      <x:c r="O310" s="68"/>
      <x:c r="P310" s="68"/>
      <x:c r="Q310" s="68"/>
      <x:c r="R310" s="68"/>
      <x:c r="S310" s="68"/>
      <x:c r="T310" s="68"/>
      <x:c r="U310" s="68"/>
      <x:c r="V310" s="68"/>
      <x:c r="W310" s="68"/>
      <x:c r="X310" s="68"/>
      <x:c r="Y310" s="68"/>
      <x:c r="Z310" s="68"/>
    </x:row>
    <x:row r="311">
      <x:c r="A311" s="68"/>
      <x:c r="B311" s="68"/>
      <x:c r="C311" s="68"/>
      <x:c r="D311" s="68"/>
      <x:c r="E311" s="68"/>
      <x:c r="F311" s="68"/>
      <x:c r="G311" s="68"/>
      <x:c r="H311" s="68"/>
      <x:c r="I311" s="68"/>
      <x:c r="J311" s="68"/>
      <x:c r="K311" s="68"/>
      <x:c r="L311" s="68"/>
      <x:c r="M311" s="68"/>
      <x:c r="N311" s="68"/>
      <x:c r="O311" s="68"/>
      <x:c r="P311" s="68"/>
      <x:c r="Q311" s="68"/>
      <x:c r="R311" s="68"/>
      <x:c r="S311" s="68"/>
      <x:c r="T311" s="68"/>
      <x:c r="U311" s="68"/>
      <x:c r="V311" s="68"/>
      <x:c r="W311" s="68"/>
      <x:c r="X311" s="68"/>
      <x:c r="Y311" s="68"/>
      <x:c r="Z311" s="68"/>
    </x:row>
    <x:row r="312">
      <x:c r="A312" s="68"/>
      <x:c r="B312" s="68"/>
      <x:c r="C312" s="68"/>
      <x:c r="D312" s="68"/>
      <x:c r="E312" s="68"/>
      <x:c r="F312" s="68"/>
      <x:c r="G312" s="68"/>
      <x:c r="H312" s="68"/>
      <x:c r="I312" s="68"/>
      <x:c r="J312" s="68"/>
      <x:c r="K312" s="68"/>
      <x:c r="L312" s="68"/>
      <x:c r="M312" s="68"/>
      <x:c r="N312" s="68"/>
      <x:c r="O312" s="68"/>
      <x:c r="P312" s="68"/>
      <x:c r="Q312" s="68"/>
      <x:c r="R312" s="68"/>
      <x:c r="S312" s="68"/>
      <x:c r="T312" s="68"/>
      <x:c r="U312" s="68"/>
      <x:c r="V312" s="68"/>
      <x:c r="W312" s="68"/>
      <x:c r="X312" s="68"/>
      <x:c r="Y312" s="68"/>
      <x:c r="Z312" s="68"/>
    </x:row>
    <x:row r="313">
      <x:c r="A313" s="68"/>
      <x:c r="B313" s="68"/>
      <x:c r="C313" s="68"/>
      <x:c r="D313" s="68"/>
      <x:c r="E313" s="68"/>
      <x:c r="F313" s="68"/>
      <x:c r="G313" s="68"/>
      <x:c r="H313" s="68"/>
      <x:c r="I313" s="68"/>
      <x:c r="J313" s="68"/>
      <x:c r="K313" s="68"/>
      <x:c r="L313" s="68"/>
      <x:c r="M313" s="68"/>
      <x:c r="N313" s="68"/>
      <x:c r="O313" s="68"/>
      <x:c r="P313" s="68"/>
      <x:c r="Q313" s="68"/>
      <x:c r="R313" s="68"/>
      <x:c r="S313" s="68"/>
      <x:c r="T313" s="68"/>
      <x:c r="U313" s="68"/>
      <x:c r="V313" s="68"/>
      <x:c r="W313" s="68"/>
      <x:c r="X313" s="68"/>
      <x:c r="Y313" s="68"/>
      <x:c r="Z313" s="68"/>
    </x:row>
    <x:row r="314">
      <x:c r="A314" s="68"/>
      <x:c r="B314" s="68"/>
      <x:c r="C314" s="68"/>
      <x:c r="D314" s="68"/>
      <x:c r="E314" s="68"/>
      <x:c r="F314" s="68"/>
      <x:c r="G314" s="68"/>
      <x:c r="H314" s="68"/>
      <x:c r="I314" s="68"/>
      <x:c r="J314" s="68"/>
      <x:c r="K314" s="68"/>
      <x:c r="L314" s="68"/>
      <x:c r="M314" s="68"/>
      <x:c r="N314" s="68"/>
      <x:c r="O314" s="68"/>
      <x:c r="P314" s="68"/>
      <x:c r="Q314" s="68"/>
      <x:c r="R314" s="68"/>
      <x:c r="S314" s="68"/>
      <x:c r="T314" s="68"/>
      <x:c r="U314" s="68"/>
      <x:c r="V314" s="68"/>
      <x:c r="W314" s="68"/>
      <x:c r="X314" s="68"/>
      <x:c r="Y314" s="68"/>
      <x:c r="Z314" s="68"/>
    </x:row>
    <x:row r="315">
      <x:c r="A315" s="68"/>
      <x:c r="B315" s="68"/>
      <x:c r="C315" s="68"/>
      <x:c r="D315" s="68"/>
      <x:c r="E315" s="68"/>
      <x:c r="F315" s="68"/>
      <x:c r="G315" s="68"/>
      <x:c r="H315" s="68"/>
      <x:c r="I315" s="68"/>
      <x:c r="J315" s="68"/>
      <x:c r="K315" s="68"/>
      <x:c r="L315" s="68"/>
      <x:c r="M315" s="68"/>
      <x:c r="N315" s="68"/>
      <x:c r="O315" s="68"/>
      <x:c r="P315" s="68"/>
      <x:c r="Q315" s="68"/>
      <x:c r="R315" s="68"/>
      <x:c r="S315" s="68"/>
      <x:c r="T315" s="68"/>
      <x:c r="U315" s="68"/>
      <x:c r="V315" s="68"/>
      <x:c r="W315" s="68"/>
      <x:c r="X315" s="68"/>
      <x:c r="Y315" s="68"/>
      <x:c r="Z315" s="68"/>
    </x:row>
    <x:row r="316">
      <x:c r="A316" s="68"/>
      <x:c r="B316" s="68"/>
      <x:c r="C316" s="68"/>
      <x:c r="D316" s="68"/>
      <x:c r="E316" s="68"/>
      <x:c r="F316" s="68"/>
      <x:c r="G316" s="68"/>
      <x:c r="H316" s="68"/>
      <x:c r="I316" s="68"/>
      <x:c r="J316" s="68"/>
      <x:c r="K316" s="68"/>
      <x:c r="L316" s="68"/>
      <x:c r="M316" s="68"/>
      <x:c r="N316" s="68"/>
      <x:c r="O316" s="68"/>
      <x:c r="P316" s="68"/>
      <x:c r="Q316" s="68"/>
      <x:c r="R316" s="68"/>
      <x:c r="S316" s="68"/>
      <x:c r="T316" s="68"/>
      <x:c r="U316" s="68"/>
      <x:c r="V316" s="68"/>
      <x:c r="W316" s="68"/>
      <x:c r="X316" s="68"/>
      <x:c r="Y316" s="68"/>
      <x:c r="Z316" s="68"/>
    </x:row>
    <x:row r="317">
      <x:c r="A317" s="68"/>
      <x:c r="B317" s="68"/>
      <x:c r="C317" s="68"/>
      <x:c r="D317" s="68"/>
      <x:c r="E317" s="68"/>
      <x:c r="F317" s="68"/>
      <x:c r="G317" s="68"/>
      <x:c r="H317" s="68"/>
      <x:c r="I317" s="68"/>
      <x:c r="J317" s="68"/>
      <x:c r="K317" s="68"/>
      <x:c r="L317" s="68"/>
      <x:c r="M317" s="68"/>
      <x:c r="N317" s="68"/>
      <x:c r="O317" s="68"/>
      <x:c r="P317" s="68"/>
      <x:c r="Q317" s="68"/>
      <x:c r="R317" s="68"/>
      <x:c r="S317" s="68"/>
      <x:c r="T317" s="68"/>
      <x:c r="U317" s="68"/>
      <x:c r="V317" s="68"/>
      <x:c r="W317" s="68"/>
      <x:c r="X317" s="68"/>
      <x:c r="Y317" s="68"/>
      <x:c r="Z317" s="68"/>
    </x:row>
    <x:row r="318">
      <x:c r="A318" s="68"/>
      <x:c r="B318" s="68"/>
      <x:c r="C318" s="68"/>
      <x:c r="D318" s="68"/>
      <x:c r="E318" s="68"/>
      <x:c r="F318" s="68"/>
      <x:c r="G318" s="68"/>
      <x:c r="H318" s="68"/>
      <x:c r="I318" s="68"/>
      <x:c r="J318" s="68"/>
      <x:c r="K318" s="68"/>
      <x:c r="L318" s="68"/>
      <x:c r="M318" s="68"/>
      <x:c r="N318" s="68"/>
      <x:c r="O318" s="68"/>
      <x:c r="P318" s="68"/>
      <x:c r="Q318" s="68"/>
      <x:c r="R318" s="68"/>
      <x:c r="S318" s="68"/>
      <x:c r="T318" s="68"/>
      <x:c r="U318" s="68"/>
      <x:c r="V318" s="68"/>
      <x:c r="W318" s="68"/>
      <x:c r="X318" s="68"/>
      <x:c r="Y318" s="68"/>
      <x:c r="Z318" s="68"/>
    </x:row>
    <x:row r="319">
      <x:c r="A319" s="68"/>
      <x:c r="B319" s="68"/>
      <x:c r="C319" s="68"/>
      <x:c r="D319" s="68"/>
      <x:c r="E319" s="68"/>
      <x:c r="F319" s="68"/>
      <x:c r="G319" s="68"/>
      <x:c r="H319" s="68"/>
      <x:c r="I319" s="68"/>
      <x:c r="J319" s="68"/>
      <x:c r="K319" s="68"/>
      <x:c r="L319" s="68"/>
      <x:c r="M319" s="68"/>
      <x:c r="N319" s="68"/>
      <x:c r="O319" s="68"/>
      <x:c r="P319" s="68"/>
      <x:c r="Q319" s="68"/>
      <x:c r="R319" s="68"/>
      <x:c r="S319" s="68"/>
      <x:c r="T319" s="68"/>
      <x:c r="U319" s="68"/>
      <x:c r="V319" s="68"/>
      <x:c r="W319" s="68"/>
      <x:c r="X319" s="68"/>
      <x:c r="Y319" s="68"/>
      <x:c r="Z319" s="68"/>
    </x:row>
    <x:row r="320">
      <x:c r="A320" s="68"/>
      <x:c r="B320" s="68"/>
      <x:c r="C320" s="68"/>
      <x:c r="D320" s="68"/>
      <x:c r="E320" s="68"/>
      <x:c r="F320" s="68"/>
      <x:c r="G320" s="68"/>
      <x:c r="H320" s="68"/>
      <x:c r="I320" s="68"/>
      <x:c r="J320" s="68"/>
      <x:c r="K320" s="68"/>
      <x:c r="L320" s="68"/>
      <x:c r="M320" s="68"/>
      <x:c r="N320" s="68"/>
      <x:c r="O320" s="68"/>
      <x:c r="P320" s="68"/>
      <x:c r="Q320" s="68"/>
      <x:c r="R320" s="68"/>
      <x:c r="S320" s="68"/>
      <x:c r="T320" s="68"/>
      <x:c r="U320" s="68"/>
      <x:c r="V320" s="68"/>
      <x:c r="W320" s="68"/>
      <x:c r="X320" s="68"/>
      <x:c r="Y320" s="68"/>
      <x:c r="Z320" s="68"/>
    </x:row>
    <x:row r="321">
      <x:c r="A321" s="68"/>
      <x:c r="B321" s="68"/>
      <x:c r="C321" s="68"/>
      <x:c r="D321" s="68"/>
      <x:c r="E321" s="68"/>
      <x:c r="F321" s="68"/>
      <x:c r="G321" s="68"/>
      <x:c r="H321" s="68"/>
      <x:c r="I321" s="68"/>
      <x:c r="J321" s="68"/>
      <x:c r="K321" s="68"/>
      <x:c r="L321" s="68"/>
      <x:c r="M321" s="68"/>
      <x:c r="N321" s="68"/>
      <x:c r="O321" s="68"/>
      <x:c r="P321" s="68"/>
      <x:c r="Q321" s="68"/>
      <x:c r="R321" s="68"/>
      <x:c r="S321" s="68"/>
      <x:c r="T321" s="68"/>
      <x:c r="U321" s="68"/>
      <x:c r="V321" s="68"/>
      <x:c r="W321" s="68"/>
      <x:c r="X321" s="68"/>
      <x:c r="Y321" s="68"/>
      <x:c r="Z321" s="68"/>
    </x:row>
    <x:row r="322">
      <x:c r="A322" s="68"/>
      <x:c r="B322" s="68"/>
      <x:c r="C322" s="68"/>
      <x:c r="D322" s="68"/>
      <x:c r="E322" s="68"/>
      <x:c r="F322" s="68"/>
      <x:c r="G322" s="68"/>
      <x:c r="H322" s="68"/>
      <x:c r="I322" s="68"/>
      <x:c r="J322" s="68"/>
      <x:c r="K322" s="68"/>
      <x:c r="L322" s="68"/>
      <x:c r="M322" s="68"/>
      <x:c r="N322" s="68"/>
      <x:c r="O322" s="68"/>
      <x:c r="P322" s="68"/>
      <x:c r="Q322" s="68"/>
      <x:c r="R322" s="68"/>
      <x:c r="S322" s="68"/>
      <x:c r="T322" s="68"/>
      <x:c r="U322" s="68"/>
      <x:c r="V322" s="68"/>
      <x:c r="W322" s="68"/>
      <x:c r="X322" s="68"/>
      <x:c r="Y322" s="68"/>
      <x:c r="Z322" s="68"/>
    </x:row>
    <x:row r="323">
      <x:c r="A323" s="68"/>
      <x:c r="B323" s="68"/>
      <x:c r="C323" s="68"/>
      <x:c r="D323" s="68"/>
      <x:c r="E323" s="68"/>
      <x:c r="F323" s="68"/>
      <x:c r="G323" s="68"/>
      <x:c r="H323" s="68"/>
      <x:c r="I323" s="68"/>
      <x:c r="J323" s="68"/>
      <x:c r="K323" s="68"/>
      <x:c r="L323" s="68"/>
      <x:c r="M323" s="68"/>
      <x:c r="N323" s="68"/>
      <x:c r="O323" s="68"/>
      <x:c r="P323" s="68"/>
      <x:c r="Q323" s="68"/>
      <x:c r="R323" s="68"/>
      <x:c r="S323" s="68"/>
      <x:c r="T323" s="68"/>
      <x:c r="U323" s="68"/>
      <x:c r="V323" s="68"/>
      <x:c r="W323" s="68"/>
      <x:c r="X323" s="68"/>
      <x:c r="Y323" s="68"/>
      <x:c r="Z323" s="68"/>
    </x:row>
    <x:row r="324">
      <x:c r="A324" s="68"/>
      <x:c r="B324" s="68"/>
      <x:c r="C324" s="68"/>
      <x:c r="D324" s="68"/>
      <x:c r="E324" s="68"/>
      <x:c r="F324" s="68"/>
      <x:c r="G324" s="68"/>
      <x:c r="H324" s="68"/>
      <x:c r="I324" s="68"/>
      <x:c r="J324" s="68"/>
      <x:c r="K324" s="68"/>
      <x:c r="L324" s="68"/>
      <x:c r="M324" s="68"/>
      <x:c r="N324" s="68"/>
      <x:c r="O324" s="68"/>
      <x:c r="P324" s="68"/>
      <x:c r="Q324" s="68"/>
      <x:c r="R324" s="68"/>
      <x:c r="S324" s="68"/>
      <x:c r="T324" s="68"/>
      <x:c r="U324" s="68"/>
      <x:c r="V324" s="68"/>
      <x:c r="W324" s="68"/>
      <x:c r="X324" s="68"/>
      <x:c r="Y324" s="68"/>
      <x:c r="Z324" s="68"/>
    </x:row>
    <x:row r="325">
      <x:c r="A325" s="68"/>
      <x:c r="B325" s="68"/>
      <x:c r="C325" s="68"/>
      <x:c r="D325" s="68"/>
      <x:c r="E325" s="68"/>
      <x:c r="F325" s="68"/>
      <x:c r="G325" s="68"/>
      <x:c r="H325" s="68"/>
      <x:c r="I325" s="68"/>
      <x:c r="J325" s="68"/>
      <x:c r="K325" s="68"/>
      <x:c r="L325" s="68"/>
      <x:c r="M325" s="68"/>
      <x:c r="N325" s="68"/>
      <x:c r="O325" s="68"/>
      <x:c r="P325" s="68"/>
      <x:c r="Q325" s="68"/>
      <x:c r="R325" s="68"/>
      <x:c r="S325" s="68"/>
      <x:c r="T325" s="68"/>
      <x:c r="U325" s="68"/>
      <x:c r="V325" s="68"/>
      <x:c r="W325" s="68"/>
      <x:c r="X325" s="68"/>
      <x:c r="Y325" s="68"/>
      <x:c r="Z325" s="68"/>
    </x:row>
    <x:row r="326">
      <x:c r="A326" s="68"/>
      <x:c r="B326" s="68"/>
      <x:c r="C326" s="68"/>
      <x:c r="D326" s="68"/>
      <x:c r="E326" s="68"/>
      <x:c r="F326" s="68"/>
      <x:c r="G326" s="68"/>
      <x:c r="H326" s="68"/>
      <x:c r="I326" s="68"/>
      <x:c r="J326" s="68"/>
      <x:c r="K326" s="68"/>
      <x:c r="L326" s="68"/>
      <x:c r="M326" s="68"/>
      <x:c r="N326" s="68"/>
      <x:c r="O326" s="68"/>
      <x:c r="P326" s="68"/>
      <x:c r="Q326" s="68"/>
      <x:c r="R326" s="68"/>
      <x:c r="S326" s="68"/>
      <x:c r="T326" s="68"/>
      <x:c r="U326" s="68"/>
      <x:c r="V326" s="68"/>
      <x:c r="W326" s="68"/>
      <x:c r="X326" s="68"/>
      <x:c r="Y326" s="68"/>
      <x:c r="Z326" s="68"/>
    </x:row>
    <x:row r="327">
      <x:c r="A327" s="68"/>
      <x:c r="B327" s="68"/>
      <x:c r="C327" s="68"/>
      <x:c r="D327" s="68"/>
      <x:c r="E327" s="68"/>
      <x:c r="F327" s="68"/>
      <x:c r="G327" s="68"/>
      <x:c r="H327" s="68"/>
      <x:c r="I327" s="68"/>
      <x:c r="J327" s="68"/>
      <x:c r="K327" s="68"/>
      <x:c r="L327" s="68"/>
      <x:c r="M327" s="68"/>
      <x:c r="N327" s="68"/>
      <x:c r="O327" s="68"/>
      <x:c r="P327" s="68"/>
      <x:c r="Q327" s="68"/>
      <x:c r="R327" s="68"/>
      <x:c r="S327" s="68"/>
      <x:c r="T327" s="68"/>
      <x:c r="U327" s="68"/>
      <x:c r="V327" s="68"/>
      <x:c r="W327" s="68"/>
      <x:c r="X327" s="68"/>
      <x:c r="Y327" s="68"/>
      <x:c r="Z327" s="68"/>
    </x:row>
    <x:row r="328">
      <x:c r="A328" s="68"/>
      <x:c r="B328" s="68"/>
      <x:c r="C328" s="68"/>
      <x:c r="D328" s="68"/>
      <x:c r="E328" s="68"/>
      <x:c r="F328" s="68"/>
      <x:c r="G328" s="68"/>
      <x:c r="H328" s="68"/>
      <x:c r="I328" s="68"/>
      <x:c r="J328" s="68"/>
      <x:c r="K328" s="68"/>
      <x:c r="L328" s="68"/>
      <x:c r="M328" s="68"/>
      <x:c r="N328" s="68"/>
      <x:c r="O328" s="68"/>
      <x:c r="P328" s="68"/>
      <x:c r="Q328" s="68"/>
      <x:c r="R328" s="68"/>
      <x:c r="S328" s="68"/>
      <x:c r="T328" s="68"/>
      <x:c r="U328" s="68"/>
      <x:c r="V328" s="68"/>
      <x:c r="W328" s="68"/>
      <x:c r="X328" s="68"/>
      <x:c r="Y328" s="68"/>
      <x:c r="Z328" s="68"/>
    </x:row>
    <x:row r="329">
      <x:c r="A329" s="68"/>
      <x:c r="B329" s="68"/>
      <x:c r="C329" s="68"/>
      <x:c r="D329" s="68"/>
      <x:c r="E329" s="68"/>
      <x:c r="F329" s="68"/>
      <x:c r="G329" s="68"/>
      <x:c r="H329" s="68"/>
      <x:c r="I329" s="68"/>
      <x:c r="J329" s="68"/>
      <x:c r="K329" s="68"/>
      <x:c r="L329" s="68"/>
      <x:c r="M329" s="68"/>
      <x:c r="N329" s="68"/>
      <x:c r="O329" s="68"/>
      <x:c r="P329" s="68"/>
      <x:c r="Q329" s="68"/>
      <x:c r="R329" s="68"/>
      <x:c r="S329" s="68"/>
      <x:c r="T329" s="68"/>
      <x:c r="U329" s="68"/>
      <x:c r="V329" s="68"/>
      <x:c r="W329" s="68"/>
      <x:c r="X329" s="68"/>
      <x:c r="Y329" s="68"/>
      <x:c r="Z329" s="68"/>
    </x:row>
    <x:row r="330">
      <x:c r="A330" s="68"/>
      <x:c r="B330" s="68"/>
      <x:c r="C330" s="68"/>
      <x:c r="D330" s="68"/>
      <x:c r="E330" s="68"/>
      <x:c r="F330" s="68"/>
      <x:c r="G330" s="68"/>
      <x:c r="H330" s="68"/>
      <x:c r="I330" s="68"/>
      <x:c r="J330" s="68"/>
      <x:c r="K330" s="68"/>
      <x:c r="L330" s="68"/>
      <x:c r="M330" s="68"/>
      <x:c r="N330" s="68"/>
      <x:c r="O330" s="68"/>
      <x:c r="P330" s="68"/>
      <x:c r="Q330" s="68"/>
      <x:c r="R330" s="68"/>
      <x:c r="S330" s="68"/>
      <x:c r="T330" s="68"/>
      <x:c r="U330" s="68"/>
      <x:c r="V330" s="68"/>
      <x:c r="W330" s="68"/>
      <x:c r="X330" s="68"/>
      <x:c r="Y330" s="68"/>
      <x:c r="Z330" s="68"/>
    </x:row>
    <x:row r="331">
      <x:c r="A331" s="68"/>
      <x:c r="B331" s="68"/>
      <x:c r="C331" s="68"/>
      <x:c r="D331" s="68"/>
      <x:c r="E331" s="68"/>
      <x:c r="F331" s="68"/>
      <x:c r="G331" s="68"/>
      <x:c r="H331" s="68"/>
      <x:c r="I331" s="68"/>
      <x:c r="J331" s="68"/>
      <x:c r="K331" s="68"/>
      <x:c r="L331" s="68"/>
      <x:c r="M331" s="68"/>
      <x:c r="N331" s="68"/>
      <x:c r="O331" s="68"/>
      <x:c r="P331" s="68"/>
      <x:c r="Q331" s="68"/>
      <x:c r="R331" s="68"/>
      <x:c r="S331" s="68"/>
      <x:c r="T331" s="68"/>
      <x:c r="U331" s="68"/>
      <x:c r="V331" s="68"/>
      <x:c r="W331" s="68"/>
      <x:c r="X331" s="68"/>
      <x:c r="Y331" s="68"/>
      <x:c r="Z331" s="68"/>
    </x:row>
    <x:row r="332">
      <x:c r="A332" s="68"/>
      <x:c r="B332" s="68"/>
      <x:c r="C332" s="68"/>
      <x:c r="D332" s="68"/>
      <x:c r="E332" s="68"/>
      <x:c r="F332" s="68"/>
      <x:c r="G332" s="68"/>
      <x:c r="H332" s="68"/>
      <x:c r="I332" s="68"/>
      <x:c r="J332" s="68"/>
      <x:c r="K332" s="68"/>
      <x:c r="L332" s="68"/>
      <x:c r="M332" s="68"/>
      <x:c r="N332" s="68"/>
      <x:c r="O332" s="68"/>
      <x:c r="P332" s="68"/>
      <x:c r="Q332" s="68"/>
      <x:c r="R332" s="68"/>
      <x:c r="S332" s="68"/>
      <x:c r="T332" s="68"/>
      <x:c r="U332" s="68"/>
      <x:c r="V332" s="68"/>
      <x:c r="W332" s="68"/>
      <x:c r="X332" s="68"/>
      <x:c r="Y332" s="68"/>
      <x:c r="Z332" s="68"/>
    </x:row>
    <x:row r="333">
      <x:c r="A333" s="68"/>
      <x:c r="B333" s="68"/>
      <x:c r="C333" s="68"/>
      <x:c r="D333" s="68"/>
      <x:c r="E333" s="68"/>
      <x:c r="F333" s="68"/>
      <x:c r="G333" s="68"/>
      <x:c r="H333" s="68"/>
      <x:c r="I333" s="68"/>
      <x:c r="J333" s="68"/>
      <x:c r="K333" s="68"/>
      <x:c r="L333" s="68"/>
      <x:c r="M333" s="68"/>
      <x:c r="N333" s="68"/>
      <x:c r="O333" s="68"/>
      <x:c r="P333" s="68"/>
      <x:c r="Q333" s="68"/>
      <x:c r="R333" s="68"/>
      <x:c r="S333" s="68"/>
      <x:c r="T333" s="68"/>
      <x:c r="U333" s="68"/>
      <x:c r="V333" s="68"/>
      <x:c r="W333" s="68"/>
      <x:c r="X333" s="68"/>
      <x:c r="Y333" s="68"/>
      <x:c r="Z333" s="68"/>
    </x:row>
    <x:row r="334">
      <x:c r="A334" s="68"/>
      <x:c r="B334" s="68"/>
      <x:c r="C334" s="68"/>
      <x:c r="D334" s="68"/>
      <x:c r="E334" s="68"/>
      <x:c r="F334" s="68"/>
      <x:c r="G334" s="68"/>
      <x:c r="H334" s="68"/>
      <x:c r="I334" s="68"/>
      <x:c r="J334" s="68"/>
      <x:c r="K334" s="68"/>
      <x:c r="L334" s="68"/>
      <x:c r="M334" s="68"/>
      <x:c r="N334" s="68"/>
      <x:c r="O334" s="68"/>
      <x:c r="P334" s="68"/>
      <x:c r="Q334" s="68"/>
      <x:c r="R334" s="68"/>
      <x:c r="S334" s="68"/>
      <x:c r="T334" s="68"/>
      <x:c r="U334" s="68"/>
      <x:c r="V334" s="68"/>
      <x:c r="W334" s="68"/>
      <x:c r="X334" s="68"/>
      <x:c r="Y334" s="68"/>
      <x:c r="Z334" s="68"/>
    </x:row>
    <x:row r="335">
      <x:c r="A335" s="68"/>
      <x:c r="B335" s="68"/>
      <x:c r="C335" s="68"/>
      <x:c r="D335" s="68"/>
      <x:c r="E335" s="68"/>
      <x:c r="F335" s="68"/>
      <x:c r="G335" s="68"/>
      <x:c r="H335" s="68"/>
      <x:c r="I335" s="68"/>
      <x:c r="J335" s="68"/>
      <x:c r="K335" s="68"/>
      <x:c r="L335" s="68"/>
      <x:c r="M335" s="68"/>
      <x:c r="N335" s="68"/>
      <x:c r="O335" s="68"/>
      <x:c r="P335" s="68"/>
      <x:c r="Q335" s="68"/>
      <x:c r="R335" s="68"/>
      <x:c r="S335" s="68"/>
      <x:c r="T335" s="68"/>
      <x:c r="U335" s="68"/>
      <x:c r="V335" s="68"/>
      <x:c r="W335" s="68"/>
      <x:c r="X335" s="68"/>
      <x:c r="Y335" s="68"/>
      <x:c r="Z335" s="68"/>
    </x:row>
    <x:row r="336">
      <x:c r="A336" s="68"/>
      <x:c r="B336" s="68"/>
      <x:c r="C336" s="68"/>
      <x:c r="D336" s="68"/>
      <x:c r="E336" s="68"/>
      <x:c r="F336" s="68"/>
      <x:c r="G336" s="68"/>
      <x:c r="H336" s="68"/>
      <x:c r="I336" s="68"/>
      <x:c r="J336" s="68"/>
      <x:c r="K336" s="68"/>
      <x:c r="L336" s="68"/>
      <x:c r="M336" s="68"/>
      <x:c r="N336" s="68"/>
      <x:c r="O336" s="68"/>
      <x:c r="P336" s="68"/>
      <x:c r="Q336" s="68"/>
      <x:c r="R336" s="68"/>
      <x:c r="S336" s="68"/>
      <x:c r="T336" s="68"/>
      <x:c r="U336" s="68"/>
      <x:c r="V336" s="68"/>
      <x:c r="W336" s="68"/>
      <x:c r="X336" s="68"/>
      <x:c r="Y336" s="68"/>
      <x:c r="Z336" s="68"/>
    </x:row>
    <x:row r="337">
      <x:c r="A337" s="68"/>
      <x:c r="B337" s="68"/>
      <x:c r="C337" s="68"/>
      <x:c r="D337" s="68"/>
      <x:c r="E337" s="68"/>
      <x:c r="F337" s="68"/>
      <x:c r="G337" s="68"/>
      <x:c r="H337" s="68"/>
      <x:c r="I337" s="68"/>
      <x:c r="J337" s="68"/>
      <x:c r="K337" s="68"/>
      <x:c r="L337" s="68"/>
      <x:c r="M337" s="68"/>
      <x:c r="N337" s="68"/>
      <x:c r="O337" s="68"/>
      <x:c r="P337" s="68"/>
      <x:c r="Q337" s="68"/>
      <x:c r="R337" s="68"/>
      <x:c r="S337" s="68"/>
      <x:c r="T337" s="68"/>
      <x:c r="U337" s="68"/>
      <x:c r="V337" s="68"/>
      <x:c r="W337" s="68"/>
      <x:c r="X337" s="68"/>
      <x:c r="Y337" s="68"/>
      <x:c r="Z337" s="68"/>
    </x:row>
    <x:row r="338">
      <x:c r="A338" s="68"/>
      <x:c r="B338" s="68"/>
      <x:c r="C338" s="68"/>
      <x:c r="D338" s="68"/>
      <x:c r="E338" s="68"/>
      <x:c r="F338" s="68"/>
      <x:c r="G338" s="68"/>
      <x:c r="H338" s="68"/>
      <x:c r="I338" s="68"/>
      <x:c r="J338" s="68"/>
      <x:c r="K338" s="68"/>
      <x:c r="L338" s="68"/>
      <x:c r="M338" s="68"/>
      <x:c r="N338" s="68"/>
      <x:c r="O338" s="68"/>
      <x:c r="P338" s="68"/>
      <x:c r="Q338" s="68"/>
      <x:c r="R338" s="68"/>
      <x:c r="S338" s="68"/>
      <x:c r="T338" s="68"/>
      <x:c r="U338" s="68"/>
      <x:c r="V338" s="68"/>
      <x:c r="W338" s="68"/>
      <x:c r="X338" s="68"/>
      <x:c r="Y338" s="68"/>
      <x:c r="Z338" s="68"/>
    </x:row>
    <x:row r="339">
      <x:c r="A339" s="68"/>
      <x:c r="B339" s="68"/>
      <x:c r="C339" s="68"/>
      <x:c r="D339" s="68"/>
      <x:c r="E339" s="68"/>
      <x:c r="F339" s="68"/>
      <x:c r="G339" s="68"/>
      <x:c r="H339" s="68"/>
      <x:c r="I339" s="68"/>
      <x:c r="J339" s="68"/>
      <x:c r="K339" s="68"/>
      <x:c r="L339" s="68"/>
      <x:c r="M339" s="68"/>
      <x:c r="N339" s="68"/>
      <x:c r="O339" s="68"/>
      <x:c r="P339" s="68"/>
      <x:c r="Q339" s="68"/>
      <x:c r="R339" s="68"/>
      <x:c r="S339" s="68"/>
      <x:c r="T339" s="68"/>
      <x:c r="U339" s="68"/>
      <x:c r="V339" s="68"/>
      <x:c r="W339" s="68"/>
      <x:c r="X339" s="68"/>
      <x:c r="Y339" s="68"/>
      <x:c r="Z339" s="68"/>
    </x:row>
    <x:row r="340">
      <x:c r="A340" s="68"/>
      <x:c r="B340" s="68"/>
      <x:c r="C340" s="68"/>
      <x:c r="D340" s="68"/>
      <x:c r="E340" s="68"/>
      <x:c r="F340" s="68"/>
      <x:c r="G340" s="68"/>
      <x:c r="H340" s="68"/>
      <x:c r="I340" s="68"/>
      <x:c r="J340" s="68"/>
      <x:c r="K340" s="68"/>
      <x:c r="L340" s="68"/>
      <x:c r="M340" s="68"/>
      <x:c r="N340" s="68"/>
      <x:c r="O340" s="68"/>
      <x:c r="P340" s="68"/>
      <x:c r="Q340" s="68"/>
      <x:c r="R340" s="68"/>
      <x:c r="S340" s="68"/>
      <x:c r="T340" s="68"/>
      <x:c r="U340" s="68"/>
      <x:c r="V340" s="68"/>
      <x:c r="W340" s="68"/>
      <x:c r="X340" s="68"/>
      <x:c r="Y340" s="68"/>
      <x:c r="Z340" s="68"/>
    </x:row>
    <x:row r="341">
      <x:c r="A341" s="68"/>
      <x:c r="B341" s="68"/>
      <x:c r="C341" s="68"/>
      <x:c r="D341" s="68"/>
      <x:c r="E341" s="68"/>
      <x:c r="F341" s="68"/>
      <x:c r="G341" s="68"/>
      <x:c r="H341" s="68"/>
      <x:c r="I341" s="68"/>
      <x:c r="J341" s="68"/>
      <x:c r="K341" s="68"/>
      <x:c r="L341" s="68"/>
      <x:c r="M341" s="68"/>
      <x:c r="N341" s="68"/>
      <x:c r="O341" s="68"/>
      <x:c r="P341" s="68"/>
      <x:c r="Q341" s="68"/>
      <x:c r="R341" s="68"/>
      <x:c r="S341" s="68"/>
      <x:c r="T341" s="68"/>
      <x:c r="U341" s="68"/>
      <x:c r="V341" s="68"/>
      <x:c r="W341" s="68"/>
      <x:c r="X341" s="68"/>
      <x:c r="Y341" s="68"/>
      <x:c r="Z341" s="68"/>
    </x:row>
    <x:row r="342">
      <x:c r="A342" s="68"/>
      <x:c r="B342" s="68"/>
      <x:c r="C342" s="68"/>
      <x:c r="D342" s="68"/>
      <x:c r="E342" s="68"/>
      <x:c r="F342" s="68"/>
      <x:c r="G342" s="68"/>
      <x:c r="H342" s="68"/>
      <x:c r="I342" s="68"/>
      <x:c r="J342" s="68"/>
      <x:c r="K342" s="68"/>
      <x:c r="L342" s="68"/>
      <x:c r="M342" s="68"/>
      <x:c r="N342" s="68"/>
      <x:c r="O342" s="68"/>
      <x:c r="P342" s="68"/>
      <x:c r="Q342" s="68"/>
      <x:c r="R342" s="68"/>
      <x:c r="S342" s="68"/>
      <x:c r="T342" s="68"/>
      <x:c r="U342" s="68"/>
      <x:c r="V342" s="68"/>
      <x:c r="W342" s="68"/>
      <x:c r="X342" s="68"/>
      <x:c r="Y342" s="68"/>
      <x:c r="Z342" s="68"/>
    </x:row>
    <x:row r="343">
      <x:c r="A343" s="68"/>
      <x:c r="B343" s="68"/>
      <x:c r="C343" s="68"/>
      <x:c r="D343" s="68"/>
      <x:c r="E343" s="68"/>
      <x:c r="F343" s="68"/>
      <x:c r="G343" s="68"/>
      <x:c r="H343" s="68"/>
      <x:c r="I343" s="68"/>
      <x:c r="J343" s="68"/>
      <x:c r="K343" s="68"/>
      <x:c r="L343" s="68"/>
      <x:c r="M343" s="68"/>
      <x:c r="N343" s="68"/>
      <x:c r="O343" s="68"/>
      <x:c r="P343" s="68"/>
      <x:c r="Q343" s="68"/>
      <x:c r="R343" s="68"/>
      <x:c r="S343" s="68"/>
      <x:c r="T343" s="68"/>
      <x:c r="U343" s="68"/>
      <x:c r="V343" s="68"/>
      <x:c r="W343" s="68"/>
      <x:c r="X343" s="68"/>
      <x:c r="Y343" s="68"/>
      <x:c r="Z343" s="68"/>
    </x:row>
    <x:row r="344">
      <x:c r="A344" s="68"/>
      <x:c r="B344" s="68"/>
      <x:c r="C344" s="68"/>
      <x:c r="D344" s="68"/>
      <x:c r="E344" s="68"/>
      <x:c r="F344" s="68"/>
      <x:c r="G344" s="68"/>
      <x:c r="H344" s="68"/>
      <x:c r="I344" s="68"/>
      <x:c r="J344" s="68"/>
      <x:c r="K344" s="68"/>
      <x:c r="L344" s="68"/>
      <x:c r="M344" s="68"/>
      <x:c r="N344" s="68"/>
      <x:c r="O344" s="68"/>
      <x:c r="P344" s="68"/>
      <x:c r="Q344" s="68"/>
      <x:c r="R344" s="68"/>
      <x:c r="S344" s="68"/>
      <x:c r="T344" s="68"/>
      <x:c r="U344" s="68"/>
      <x:c r="V344" s="68"/>
      <x:c r="W344" s="68"/>
      <x:c r="X344" s="68"/>
      <x:c r="Y344" s="68"/>
      <x:c r="Z344" s="68"/>
    </x:row>
    <x:row r="345">
      <x:c r="A345" s="68"/>
      <x:c r="B345" s="68"/>
      <x:c r="C345" s="68"/>
      <x:c r="D345" s="68"/>
      <x:c r="E345" s="68"/>
      <x:c r="F345" s="68"/>
      <x:c r="G345" s="68"/>
      <x:c r="H345" s="68"/>
      <x:c r="I345" s="68"/>
      <x:c r="J345" s="68"/>
      <x:c r="K345" s="68"/>
      <x:c r="L345" s="68"/>
      <x:c r="M345" s="68"/>
      <x:c r="N345" s="68"/>
      <x:c r="O345" s="68"/>
      <x:c r="P345" s="68"/>
      <x:c r="Q345" s="68"/>
      <x:c r="R345" s="68"/>
      <x:c r="S345" s="68"/>
      <x:c r="T345" s="68"/>
      <x:c r="U345" s="68"/>
      <x:c r="V345" s="68"/>
      <x:c r="W345" s="68"/>
      <x:c r="X345" s="68"/>
      <x:c r="Y345" s="68"/>
      <x:c r="Z345" s="68"/>
    </x:row>
    <x:row r="346">
      <x:c r="A346" s="68"/>
      <x:c r="B346" s="68"/>
      <x:c r="C346" s="68"/>
      <x:c r="D346" s="68"/>
      <x:c r="E346" s="68"/>
      <x:c r="F346" s="68"/>
      <x:c r="G346" s="68"/>
      <x:c r="H346" s="68"/>
      <x:c r="I346" s="68"/>
      <x:c r="J346" s="68"/>
      <x:c r="K346" s="68"/>
      <x:c r="L346" s="68"/>
      <x:c r="M346" s="68"/>
      <x:c r="N346" s="68"/>
      <x:c r="O346" s="68"/>
      <x:c r="P346" s="68"/>
      <x:c r="Q346" s="68"/>
      <x:c r="R346" s="68"/>
      <x:c r="S346" s="68"/>
      <x:c r="T346" s="68"/>
      <x:c r="U346" s="68"/>
      <x:c r="V346" s="68"/>
      <x:c r="W346" s="68"/>
      <x:c r="X346" s="68"/>
      <x:c r="Y346" s="68"/>
      <x:c r="Z346" s="68"/>
    </x:row>
    <x:row r="347">
      <x:c r="A347" s="68"/>
      <x:c r="B347" s="68"/>
      <x:c r="C347" s="68"/>
      <x:c r="D347" s="68"/>
      <x:c r="E347" s="68"/>
      <x:c r="F347" s="68"/>
      <x:c r="G347" s="68"/>
      <x:c r="H347" s="68"/>
      <x:c r="I347" s="68"/>
      <x:c r="J347" s="68"/>
      <x:c r="K347" s="68"/>
      <x:c r="L347" s="68"/>
      <x:c r="M347" s="68"/>
      <x:c r="N347" s="68"/>
      <x:c r="O347" s="68"/>
      <x:c r="P347" s="68"/>
      <x:c r="Q347" s="68"/>
      <x:c r="R347" s="68"/>
      <x:c r="S347" s="68"/>
      <x:c r="T347" s="68"/>
      <x:c r="U347" s="68"/>
      <x:c r="V347" s="68"/>
      <x:c r="W347" s="68"/>
      <x:c r="X347" s="68"/>
      <x:c r="Y347" s="68"/>
      <x:c r="Z347" s="68"/>
    </x:row>
    <x:row r="348">
      <x:c r="A348" s="68"/>
      <x:c r="B348" s="68"/>
      <x:c r="C348" s="68"/>
      <x:c r="D348" s="68"/>
      <x:c r="E348" s="68"/>
      <x:c r="F348" s="68"/>
      <x:c r="G348" s="68"/>
      <x:c r="H348" s="68"/>
      <x:c r="I348" s="68"/>
      <x:c r="J348" s="68"/>
      <x:c r="K348" s="68"/>
      <x:c r="L348" s="68"/>
      <x:c r="M348" s="68"/>
      <x:c r="N348" s="68"/>
      <x:c r="O348" s="68"/>
      <x:c r="P348" s="68"/>
      <x:c r="Q348" s="68"/>
      <x:c r="R348" s="68"/>
      <x:c r="S348" s="68"/>
      <x:c r="T348" s="68"/>
      <x:c r="U348" s="68"/>
      <x:c r="V348" s="68"/>
      <x:c r="W348" s="68"/>
      <x:c r="X348" s="68"/>
      <x:c r="Y348" s="68"/>
      <x:c r="Z348" s="68"/>
    </x:row>
    <x:row r="349">
      <x:c r="A349" s="68"/>
      <x:c r="B349" s="68"/>
      <x:c r="C349" s="68"/>
      <x:c r="D349" s="68"/>
      <x:c r="E349" s="68"/>
      <x:c r="F349" s="68"/>
      <x:c r="G349" s="68"/>
      <x:c r="H349" s="68"/>
      <x:c r="I349" s="68"/>
      <x:c r="J349" s="68"/>
      <x:c r="K349" s="68"/>
      <x:c r="L349" s="68"/>
      <x:c r="M349" s="68"/>
      <x:c r="N349" s="68"/>
      <x:c r="O349" s="68"/>
      <x:c r="P349" s="68"/>
      <x:c r="Q349" s="68"/>
      <x:c r="R349" s="68"/>
      <x:c r="S349" s="68"/>
      <x:c r="T349" s="68"/>
      <x:c r="U349" s="68"/>
      <x:c r="V349" s="68"/>
      <x:c r="W349" s="68"/>
      <x:c r="X349" s="68"/>
      <x:c r="Y349" s="68"/>
      <x:c r="Z349" s="68"/>
    </x:row>
    <x:row r="350">
      <x:c r="A350" s="68"/>
      <x:c r="B350" s="68"/>
      <x:c r="C350" s="68"/>
      <x:c r="D350" s="68"/>
      <x:c r="E350" s="68"/>
      <x:c r="F350" s="68"/>
      <x:c r="G350" s="68"/>
      <x:c r="H350" s="68"/>
      <x:c r="I350" s="68"/>
      <x:c r="J350" s="68"/>
      <x:c r="K350" s="68"/>
      <x:c r="L350" s="68"/>
      <x:c r="M350" s="68"/>
      <x:c r="N350" s="68"/>
      <x:c r="O350" s="68"/>
      <x:c r="P350" s="68"/>
      <x:c r="Q350" s="68"/>
      <x:c r="R350" s="68"/>
      <x:c r="S350" s="68"/>
      <x:c r="T350" s="68"/>
      <x:c r="U350" s="68"/>
      <x:c r="V350" s="68"/>
      <x:c r="W350" s="68"/>
      <x:c r="X350" s="68"/>
      <x:c r="Y350" s="68"/>
      <x:c r="Z350" s="68"/>
    </x:row>
    <x:row r="351">
      <x:c r="A351" s="68"/>
      <x:c r="B351" s="68"/>
      <x:c r="C351" s="68"/>
      <x:c r="D351" s="68"/>
      <x:c r="E351" s="68"/>
      <x:c r="F351" s="68"/>
      <x:c r="G351" s="68"/>
      <x:c r="H351" s="68"/>
      <x:c r="I351" s="68"/>
      <x:c r="J351" s="68"/>
      <x:c r="K351" s="68"/>
      <x:c r="L351" s="68"/>
      <x:c r="M351" s="68"/>
      <x:c r="N351" s="68"/>
      <x:c r="O351" s="68"/>
      <x:c r="P351" s="68"/>
      <x:c r="Q351" s="68"/>
      <x:c r="R351" s="68"/>
      <x:c r="S351" s="68"/>
      <x:c r="T351" s="68"/>
      <x:c r="U351" s="68"/>
      <x:c r="V351" s="68"/>
      <x:c r="W351" s="68"/>
      <x:c r="X351" s="68"/>
      <x:c r="Y351" s="68"/>
      <x:c r="Z351" s="68"/>
    </x:row>
    <x:row r="352">
      <x:c r="A352" s="68"/>
      <x:c r="B352" s="68"/>
      <x:c r="C352" s="68"/>
      <x:c r="D352" s="68"/>
      <x:c r="E352" s="68"/>
      <x:c r="F352" s="68"/>
      <x:c r="G352" s="68"/>
      <x:c r="H352" s="68"/>
      <x:c r="I352" s="68"/>
      <x:c r="J352" s="68"/>
      <x:c r="K352" s="68"/>
      <x:c r="L352" s="68"/>
      <x:c r="M352" s="68"/>
      <x:c r="N352" s="68"/>
      <x:c r="O352" s="68"/>
      <x:c r="P352" s="68"/>
      <x:c r="Q352" s="68"/>
      <x:c r="R352" s="68"/>
      <x:c r="S352" s="68"/>
      <x:c r="T352" s="68"/>
      <x:c r="U352" s="68"/>
      <x:c r="V352" s="68"/>
      <x:c r="W352" s="68"/>
      <x:c r="X352" s="68"/>
      <x:c r="Y352" s="68"/>
      <x:c r="Z352" s="68"/>
    </x:row>
    <x:row r="353">
      <x:c r="A353" s="68"/>
      <x:c r="B353" s="68"/>
      <x:c r="C353" s="68"/>
      <x:c r="D353" s="68"/>
      <x:c r="E353" s="68"/>
      <x:c r="F353" s="68"/>
      <x:c r="G353" s="68"/>
      <x:c r="H353" s="68"/>
      <x:c r="I353" s="68"/>
      <x:c r="J353" s="68"/>
      <x:c r="K353" s="68"/>
      <x:c r="L353" s="68"/>
      <x:c r="M353" s="68"/>
      <x:c r="N353" s="68"/>
      <x:c r="O353" s="68"/>
      <x:c r="P353" s="68"/>
      <x:c r="Q353" s="68"/>
      <x:c r="R353" s="68"/>
      <x:c r="S353" s="68"/>
      <x:c r="T353" s="68"/>
      <x:c r="U353" s="68"/>
      <x:c r="V353" s="68"/>
      <x:c r="W353" s="68"/>
      <x:c r="X353" s="68"/>
      <x:c r="Y353" s="68"/>
      <x:c r="Z353" s="68"/>
    </x:row>
    <x:row r="354">
      <x:c r="A354" s="68"/>
      <x:c r="B354" s="68"/>
      <x:c r="C354" s="68"/>
      <x:c r="D354" s="68"/>
      <x:c r="E354" s="68"/>
      <x:c r="F354" s="68"/>
      <x:c r="G354" s="68"/>
      <x:c r="H354" s="68"/>
      <x:c r="I354" s="68"/>
      <x:c r="J354" s="68"/>
      <x:c r="K354" s="68"/>
      <x:c r="L354" s="68"/>
      <x:c r="M354" s="68"/>
      <x:c r="N354" s="68"/>
      <x:c r="O354" s="68"/>
      <x:c r="P354" s="68"/>
      <x:c r="Q354" s="68"/>
      <x:c r="R354" s="68"/>
      <x:c r="S354" s="68"/>
      <x:c r="T354" s="68"/>
      <x:c r="U354" s="68"/>
      <x:c r="V354" s="68"/>
      <x:c r="W354" s="68"/>
      <x:c r="X354" s="68"/>
      <x:c r="Y354" s="68"/>
      <x:c r="Z354" s="68"/>
    </x:row>
    <x:row r="355">
      <x:c r="A355" s="68"/>
      <x:c r="B355" s="68"/>
      <x:c r="C355" s="68"/>
      <x:c r="D355" s="68"/>
      <x:c r="E355" s="68"/>
      <x:c r="F355" s="68"/>
      <x:c r="G355" s="68"/>
      <x:c r="H355" s="68"/>
      <x:c r="I355" s="68"/>
      <x:c r="J355" s="68"/>
      <x:c r="K355" s="68"/>
      <x:c r="L355" s="68"/>
      <x:c r="M355" s="68"/>
      <x:c r="N355" s="68"/>
      <x:c r="O355" s="68"/>
      <x:c r="P355" s="68"/>
      <x:c r="Q355" s="68"/>
      <x:c r="R355" s="68"/>
      <x:c r="S355" s="68"/>
      <x:c r="T355" s="68"/>
      <x:c r="U355" s="68"/>
      <x:c r="V355" s="68"/>
      <x:c r="W355" s="68"/>
      <x:c r="X355" s="68"/>
      <x:c r="Y355" s="68"/>
      <x:c r="Z355" s="68"/>
    </x:row>
    <x:row r="356">
      <x:c r="A356" s="68"/>
      <x:c r="B356" s="68"/>
      <x:c r="C356" s="68"/>
      <x:c r="D356" s="68"/>
      <x:c r="E356" s="68"/>
      <x:c r="F356" s="68"/>
      <x:c r="G356" s="68"/>
      <x:c r="H356" s="68"/>
      <x:c r="I356" s="68"/>
      <x:c r="J356" s="68"/>
      <x:c r="K356" s="68"/>
      <x:c r="L356" s="68"/>
      <x:c r="M356" s="68"/>
      <x:c r="N356" s="68"/>
      <x:c r="O356" s="68"/>
      <x:c r="P356" s="68"/>
      <x:c r="Q356" s="68"/>
      <x:c r="R356" s="68"/>
      <x:c r="S356" s="68"/>
      <x:c r="T356" s="68"/>
      <x:c r="U356" s="68"/>
      <x:c r="V356" s="68"/>
      <x:c r="W356" s="68"/>
      <x:c r="X356" s="68"/>
      <x:c r="Y356" s="68"/>
      <x:c r="Z356" s="68"/>
    </x:row>
    <x:row r="357">
      <x:c r="A357" s="68"/>
      <x:c r="B357" s="68"/>
      <x:c r="C357" s="68"/>
      <x:c r="D357" s="68"/>
      <x:c r="E357" s="68"/>
      <x:c r="F357" s="68"/>
      <x:c r="G357" s="68"/>
      <x:c r="H357" s="68"/>
      <x:c r="I357" s="68"/>
      <x:c r="J357" s="68"/>
      <x:c r="K357" s="68"/>
      <x:c r="L357" s="68"/>
      <x:c r="M357" s="68"/>
      <x:c r="N357" s="68"/>
      <x:c r="O357" s="68"/>
      <x:c r="P357" s="68"/>
      <x:c r="Q357" s="68"/>
      <x:c r="R357" s="68"/>
      <x:c r="S357" s="68"/>
      <x:c r="T357" s="68"/>
      <x:c r="U357" s="68"/>
      <x:c r="V357" s="68"/>
      <x:c r="W357" s="68"/>
      <x:c r="X357" s="68"/>
      <x:c r="Y357" s="68"/>
      <x:c r="Z357" s="68"/>
    </x:row>
    <x:row r="358">
      <x:c r="A358" s="68"/>
      <x:c r="B358" s="68"/>
      <x:c r="C358" s="68"/>
      <x:c r="D358" s="68"/>
      <x:c r="E358" s="68"/>
      <x:c r="F358" s="68"/>
      <x:c r="G358" s="68"/>
      <x:c r="H358" s="68"/>
      <x:c r="I358" s="68"/>
      <x:c r="J358" s="68"/>
      <x:c r="K358" s="68"/>
      <x:c r="L358" s="68"/>
      <x:c r="M358" s="68"/>
      <x:c r="N358" s="68"/>
      <x:c r="O358" s="68"/>
      <x:c r="P358" s="68"/>
      <x:c r="Q358" s="68"/>
      <x:c r="R358" s="68"/>
      <x:c r="S358" s="68"/>
      <x:c r="T358" s="68"/>
      <x:c r="U358" s="68"/>
      <x:c r="V358" s="68"/>
      <x:c r="W358" s="68"/>
      <x:c r="X358" s="68"/>
      <x:c r="Y358" s="68"/>
      <x:c r="Z358" s="68"/>
    </x:row>
    <x:row r="359">
      <x:c r="A359" s="68"/>
      <x:c r="B359" s="68"/>
      <x:c r="C359" s="68"/>
      <x:c r="D359" s="68"/>
      <x:c r="E359" s="68"/>
      <x:c r="F359" s="68"/>
      <x:c r="G359" s="68"/>
      <x:c r="H359" s="68"/>
      <x:c r="I359" s="68"/>
      <x:c r="J359" s="68"/>
      <x:c r="K359" s="68"/>
      <x:c r="L359" s="68"/>
      <x:c r="M359" s="68"/>
      <x:c r="N359" s="68"/>
      <x:c r="O359" s="68"/>
      <x:c r="P359" s="68"/>
      <x:c r="Q359" s="68"/>
      <x:c r="R359" s="68"/>
      <x:c r="S359" s="68"/>
      <x:c r="T359" s="68"/>
      <x:c r="U359" s="68"/>
      <x:c r="V359" s="68"/>
      <x:c r="W359" s="68"/>
      <x:c r="X359" s="68"/>
      <x:c r="Y359" s="68"/>
      <x:c r="Z359" s="68"/>
    </x:row>
    <x:row r="360">
      <x:c r="A360" s="68"/>
      <x:c r="B360" s="68"/>
      <x:c r="C360" s="68"/>
      <x:c r="D360" s="68"/>
      <x:c r="E360" s="68"/>
      <x:c r="F360" s="68"/>
      <x:c r="G360" s="68"/>
      <x:c r="H360" s="68"/>
      <x:c r="I360" s="68"/>
      <x:c r="J360" s="68"/>
      <x:c r="K360" s="68"/>
      <x:c r="L360" s="68"/>
      <x:c r="M360" s="68"/>
      <x:c r="N360" s="68"/>
      <x:c r="O360" s="68"/>
      <x:c r="P360" s="68"/>
      <x:c r="Q360" s="68"/>
      <x:c r="R360" s="68"/>
      <x:c r="S360" s="68"/>
      <x:c r="T360" s="68"/>
      <x:c r="U360" s="68"/>
      <x:c r="V360" s="68"/>
      <x:c r="W360" s="68"/>
      <x:c r="X360" s="68"/>
      <x:c r="Y360" s="68"/>
      <x:c r="Z360" s="68"/>
    </x:row>
    <x:row r="361">
      <x:c r="A361" s="68"/>
      <x:c r="B361" s="68"/>
      <x:c r="C361" s="68"/>
      <x:c r="D361" s="68"/>
      <x:c r="E361" s="68"/>
      <x:c r="F361" s="68"/>
      <x:c r="G361" s="68"/>
      <x:c r="H361" s="68"/>
      <x:c r="I361" s="68"/>
      <x:c r="J361" s="68"/>
      <x:c r="K361" s="68"/>
      <x:c r="L361" s="68"/>
      <x:c r="M361" s="68"/>
      <x:c r="N361" s="68"/>
      <x:c r="O361" s="68"/>
      <x:c r="P361" s="68"/>
      <x:c r="Q361" s="68"/>
      <x:c r="R361" s="68"/>
      <x:c r="S361" s="68"/>
      <x:c r="T361" s="68"/>
      <x:c r="U361" s="68"/>
      <x:c r="V361" s="68"/>
      <x:c r="W361" s="68"/>
      <x:c r="X361" s="68"/>
      <x:c r="Y361" s="68"/>
      <x:c r="Z361" s="68"/>
    </x:row>
    <x:row r="362">
      <x:c r="A362" s="68"/>
      <x:c r="B362" s="68"/>
      <x:c r="C362" s="68"/>
      <x:c r="D362" s="68"/>
      <x:c r="E362" s="68"/>
      <x:c r="F362" s="68"/>
      <x:c r="G362" s="68"/>
      <x:c r="H362" s="68"/>
      <x:c r="I362" s="68"/>
      <x:c r="J362" s="68"/>
      <x:c r="K362" s="68"/>
      <x:c r="L362" s="68"/>
      <x:c r="M362" s="68"/>
      <x:c r="N362" s="68"/>
      <x:c r="O362" s="68"/>
      <x:c r="P362" s="68"/>
      <x:c r="Q362" s="68"/>
      <x:c r="R362" s="68"/>
      <x:c r="S362" s="68"/>
      <x:c r="T362" s="68"/>
      <x:c r="U362" s="68"/>
      <x:c r="V362" s="68"/>
      <x:c r="W362" s="68"/>
      <x:c r="X362" s="68"/>
      <x:c r="Y362" s="68"/>
      <x:c r="Z362" s="68"/>
    </x:row>
    <x:row r="363">
      <x:c r="A363" s="68"/>
      <x:c r="B363" s="68"/>
      <x:c r="C363" s="68"/>
      <x:c r="D363" s="68"/>
      <x:c r="E363" s="68"/>
      <x:c r="F363" s="68"/>
      <x:c r="G363" s="68"/>
      <x:c r="H363" s="68"/>
      <x:c r="I363" s="68"/>
      <x:c r="J363" s="68"/>
      <x:c r="K363" s="68"/>
      <x:c r="L363" s="68"/>
      <x:c r="M363" s="68"/>
      <x:c r="N363" s="68"/>
      <x:c r="O363" s="68"/>
      <x:c r="P363" s="68"/>
      <x:c r="Q363" s="68"/>
      <x:c r="R363" s="68"/>
      <x:c r="S363" s="68"/>
      <x:c r="T363" s="68"/>
      <x:c r="U363" s="68"/>
      <x:c r="V363" s="68"/>
      <x:c r="W363" s="68"/>
      <x:c r="X363" s="68"/>
      <x:c r="Y363" s="68"/>
      <x:c r="Z363" s="68"/>
    </x:row>
    <x:row r="364">
      <x:c r="A364" s="68"/>
      <x:c r="B364" s="68"/>
      <x:c r="C364" s="68"/>
      <x:c r="D364" s="68"/>
      <x:c r="E364" s="68"/>
      <x:c r="F364" s="68"/>
      <x:c r="G364" s="68"/>
      <x:c r="H364" s="68"/>
      <x:c r="I364" s="68"/>
      <x:c r="J364" s="68"/>
      <x:c r="K364" s="68"/>
      <x:c r="L364" s="68"/>
      <x:c r="M364" s="68"/>
      <x:c r="N364" s="68"/>
      <x:c r="O364" s="68"/>
      <x:c r="P364" s="68"/>
      <x:c r="Q364" s="68"/>
      <x:c r="R364" s="68"/>
      <x:c r="S364" s="68"/>
      <x:c r="T364" s="68"/>
      <x:c r="U364" s="68"/>
      <x:c r="V364" s="68"/>
      <x:c r="W364" s="68"/>
      <x:c r="X364" s="68"/>
      <x:c r="Y364" s="68"/>
      <x:c r="Z364" s="68"/>
    </x:row>
    <x:row r="365">
      <x:c r="A365" s="68"/>
      <x:c r="B365" s="68"/>
      <x:c r="C365" s="68"/>
      <x:c r="D365" s="68"/>
      <x:c r="E365" s="68"/>
      <x:c r="F365" s="68"/>
      <x:c r="G365" s="68"/>
      <x:c r="H365" s="68"/>
      <x:c r="I365" s="68"/>
      <x:c r="J365" s="68"/>
      <x:c r="K365" s="68"/>
      <x:c r="L365" s="68"/>
      <x:c r="M365" s="68"/>
      <x:c r="N365" s="68"/>
      <x:c r="O365" s="68"/>
      <x:c r="P365" s="68"/>
      <x:c r="Q365" s="68"/>
      <x:c r="R365" s="68"/>
      <x:c r="S365" s="68"/>
      <x:c r="T365" s="68"/>
      <x:c r="U365" s="68"/>
      <x:c r="V365" s="68"/>
      <x:c r="W365" s="68"/>
      <x:c r="X365" s="68"/>
      <x:c r="Y365" s="68"/>
      <x:c r="Z365" s="68"/>
    </x:row>
    <x:row r="366">
      <x:c r="A366" s="68"/>
      <x:c r="B366" s="68"/>
      <x:c r="C366" s="68"/>
      <x:c r="D366" s="68"/>
      <x:c r="E366" s="68"/>
      <x:c r="F366" s="68"/>
      <x:c r="G366" s="68"/>
      <x:c r="H366" s="68"/>
      <x:c r="I366" s="68"/>
      <x:c r="J366" s="68"/>
      <x:c r="K366" s="68"/>
      <x:c r="L366" s="68"/>
      <x:c r="M366" s="68"/>
      <x:c r="N366" s="68"/>
      <x:c r="O366" s="68"/>
      <x:c r="P366" s="68"/>
      <x:c r="Q366" s="68"/>
      <x:c r="R366" s="68"/>
      <x:c r="S366" s="68"/>
      <x:c r="T366" s="68"/>
      <x:c r="U366" s="68"/>
      <x:c r="V366" s="68"/>
      <x:c r="W366" s="68"/>
      <x:c r="X366" s="68"/>
      <x:c r="Y366" s="68"/>
      <x:c r="Z366" s="68"/>
    </x:row>
    <x:row r="367">
      <x:c r="A367" s="68"/>
      <x:c r="B367" s="68"/>
      <x:c r="C367" s="68"/>
      <x:c r="D367" s="68"/>
      <x:c r="E367" s="68"/>
      <x:c r="F367" s="68"/>
      <x:c r="G367" s="68"/>
      <x:c r="H367" s="68"/>
      <x:c r="I367" s="68"/>
      <x:c r="J367" s="68"/>
      <x:c r="K367" s="68"/>
      <x:c r="L367" s="68"/>
      <x:c r="M367" s="68"/>
      <x:c r="N367" s="68"/>
      <x:c r="O367" s="68"/>
      <x:c r="P367" s="68"/>
      <x:c r="Q367" s="68"/>
      <x:c r="R367" s="68"/>
      <x:c r="S367" s="68"/>
      <x:c r="T367" s="68"/>
      <x:c r="U367" s="68"/>
      <x:c r="V367" s="68"/>
      <x:c r="W367" s="68"/>
      <x:c r="X367" s="68"/>
      <x:c r="Y367" s="68"/>
      <x:c r="Z367" s="68"/>
    </x:row>
    <x:row r="368">
      <x:c r="A368" s="68"/>
      <x:c r="B368" s="68"/>
      <x:c r="C368" s="68"/>
      <x:c r="D368" s="68"/>
      <x:c r="E368" s="68"/>
      <x:c r="F368" s="68"/>
      <x:c r="G368" s="68"/>
      <x:c r="H368" s="68"/>
      <x:c r="I368" s="68"/>
      <x:c r="J368" s="68"/>
      <x:c r="K368" s="68"/>
      <x:c r="L368" s="68"/>
      <x:c r="M368" s="68"/>
      <x:c r="N368" s="68"/>
      <x:c r="O368" s="68"/>
      <x:c r="P368" s="68"/>
      <x:c r="Q368" s="68"/>
      <x:c r="R368" s="68"/>
      <x:c r="S368" s="68"/>
      <x:c r="T368" s="68"/>
      <x:c r="U368" s="68"/>
      <x:c r="V368" s="68"/>
      <x:c r="W368" s="68"/>
      <x:c r="X368" s="68"/>
      <x:c r="Y368" s="68"/>
      <x:c r="Z368" s="68"/>
    </x:row>
    <x:row r="369">
      <x:c r="A369" s="68"/>
      <x:c r="B369" s="68"/>
      <x:c r="C369" s="68"/>
      <x:c r="D369" s="68"/>
      <x:c r="E369" s="68"/>
      <x:c r="F369" s="68"/>
      <x:c r="G369" s="68"/>
      <x:c r="H369" s="68"/>
      <x:c r="I369" s="68"/>
      <x:c r="J369" s="68"/>
      <x:c r="K369" s="68"/>
      <x:c r="L369" s="68"/>
      <x:c r="M369" s="68"/>
      <x:c r="N369" s="68"/>
      <x:c r="O369" s="68"/>
      <x:c r="P369" s="68"/>
      <x:c r="Q369" s="68"/>
      <x:c r="R369" s="68"/>
      <x:c r="S369" s="68"/>
      <x:c r="T369" s="68"/>
      <x:c r="U369" s="68"/>
      <x:c r="V369" s="68"/>
      <x:c r="W369" s="68"/>
      <x:c r="X369" s="68"/>
      <x:c r="Y369" s="68"/>
      <x:c r="Z369" s="68"/>
    </x:row>
    <x:row r="370">
      <x:c r="A370" s="68"/>
      <x:c r="B370" s="68"/>
      <x:c r="C370" s="68"/>
      <x:c r="D370" s="68"/>
      <x:c r="E370" s="68"/>
      <x:c r="F370" s="68"/>
      <x:c r="G370" s="68"/>
      <x:c r="H370" s="68"/>
      <x:c r="I370" s="68"/>
      <x:c r="J370" s="68"/>
      <x:c r="K370" s="68"/>
      <x:c r="L370" s="68"/>
      <x:c r="M370" s="68"/>
      <x:c r="N370" s="68"/>
      <x:c r="O370" s="68"/>
      <x:c r="P370" s="68"/>
      <x:c r="Q370" s="68"/>
      <x:c r="R370" s="68"/>
      <x:c r="S370" s="68"/>
      <x:c r="T370" s="68"/>
      <x:c r="U370" s="68"/>
      <x:c r="V370" s="68"/>
      <x:c r="W370" s="68"/>
      <x:c r="X370" s="68"/>
      <x:c r="Y370" s="68"/>
      <x:c r="Z370" s="68"/>
    </x:row>
    <x:row r="371">
      <x:c r="A371" s="68"/>
      <x:c r="B371" s="68"/>
      <x:c r="C371" s="68"/>
      <x:c r="D371" s="68"/>
      <x:c r="E371" s="68"/>
      <x:c r="F371" s="68"/>
      <x:c r="G371" s="68"/>
      <x:c r="H371" s="68"/>
      <x:c r="I371" s="68"/>
      <x:c r="J371" s="68"/>
      <x:c r="K371" s="68"/>
      <x:c r="L371" s="68"/>
      <x:c r="M371" s="68"/>
      <x:c r="N371" s="68"/>
      <x:c r="O371" s="68"/>
      <x:c r="P371" s="68"/>
      <x:c r="Q371" s="68"/>
      <x:c r="R371" s="68"/>
      <x:c r="S371" s="68"/>
      <x:c r="T371" s="68"/>
      <x:c r="U371" s="68"/>
      <x:c r="V371" s="68"/>
      <x:c r="W371" s="68"/>
      <x:c r="X371" s="68"/>
      <x:c r="Y371" s="68"/>
      <x:c r="Z371" s="68"/>
    </x:row>
    <x:row r="372">
      <x:c r="A372" s="68"/>
      <x:c r="B372" s="68"/>
      <x:c r="C372" s="68"/>
      <x:c r="D372" s="68"/>
      <x:c r="E372" s="68"/>
      <x:c r="F372" s="68"/>
      <x:c r="G372" s="68"/>
      <x:c r="H372" s="68"/>
      <x:c r="I372" s="68"/>
      <x:c r="J372" s="68"/>
      <x:c r="K372" s="68"/>
      <x:c r="L372" s="68"/>
      <x:c r="M372" s="68"/>
      <x:c r="N372" s="68"/>
      <x:c r="O372" s="68"/>
      <x:c r="P372" s="68"/>
      <x:c r="Q372" s="68"/>
      <x:c r="R372" s="68"/>
      <x:c r="S372" s="68"/>
      <x:c r="T372" s="68"/>
      <x:c r="U372" s="68"/>
      <x:c r="V372" s="68"/>
      <x:c r="W372" s="68"/>
      <x:c r="X372" s="68"/>
      <x:c r="Y372" s="68"/>
      <x:c r="Z372" s="68"/>
    </x:row>
    <x:row r="373">
      <x:c r="A373" s="68"/>
      <x:c r="B373" s="68"/>
      <x:c r="C373" s="68"/>
      <x:c r="D373" s="68"/>
      <x:c r="E373" s="68"/>
      <x:c r="F373" s="68"/>
      <x:c r="G373" s="68"/>
      <x:c r="H373" s="68"/>
      <x:c r="I373" s="68"/>
      <x:c r="J373" s="68"/>
      <x:c r="K373" s="68"/>
      <x:c r="L373" s="68"/>
      <x:c r="M373" s="68"/>
      <x:c r="N373" s="68"/>
      <x:c r="O373" s="68"/>
      <x:c r="P373" s="68"/>
      <x:c r="Q373" s="68"/>
      <x:c r="R373" s="68"/>
      <x:c r="S373" s="68"/>
      <x:c r="T373" s="68"/>
      <x:c r="U373" s="68"/>
      <x:c r="V373" s="68"/>
      <x:c r="W373" s="68"/>
      <x:c r="X373" s="68"/>
      <x:c r="Y373" s="68"/>
      <x:c r="Z373" s="68"/>
    </x:row>
    <x:row r="374">
      <x:c r="A374" s="68"/>
      <x:c r="B374" s="68"/>
      <x:c r="C374" s="68"/>
      <x:c r="D374" s="68"/>
      <x:c r="E374" s="68"/>
      <x:c r="F374" s="68"/>
      <x:c r="G374" s="68"/>
      <x:c r="H374" s="68"/>
      <x:c r="I374" s="68"/>
      <x:c r="J374" s="68"/>
      <x:c r="K374" s="68"/>
      <x:c r="L374" s="68"/>
      <x:c r="M374" s="68"/>
      <x:c r="N374" s="68"/>
      <x:c r="O374" s="68"/>
      <x:c r="P374" s="68"/>
      <x:c r="Q374" s="68"/>
      <x:c r="R374" s="68"/>
      <x:c r="S374" s="68"/>
      <x:c r="T374" s="68"/>
      <x:c r="U374" s="68"/>
      <x:c r="V374" s="68"/>
      <x:c r="W374" s="68"/>
      <x:c r="X374" s="68"/>
      <x:c r="Y374" s="68"/>
      <x:c r="Z374" s="68"/>
    </x:row>
    <x:row r="375">
      <x:c r="A375" s="68"/>
      <x:c r="B375" s="68"/>
      <x:c r="C375" s="68"/>
      <x:c r="D375" s="68"/>
      <x:c r="E375" s="68"/>
      <x:c r="F375" s="68"/>
      <x:c r="G375" s="68"/>
      <x:c r="H375" s="68"/>
      <x:c r="I375" s="68"/>
      <x:c r="J375" s="68"/>
      <x:c r="K375" s="68"/>
      <x:c r="L375" s="68"/>
      <x:c r="M375" s="68"/>
      <x:c r="N375" s="68"/>
      <x:c r="O375" s="68"/>
      <x:c r="P375" s="68"/>
      <x:c r="Q375" s="68"/>
      <x:c r="R375" s="68"/>
      <x:c r="S375" s="68"/>
      <x:c r="T375" s="68"/>
      <x:c r="U375" s="68"/>
      <x:c r="V375" s="68"/>
      <x:c r="W375" s="68"/>
      <x:c r="X375" s="68"/>
      <x:c r="Y375" s="68"/>
      <x:c r="Z375" s="68"/>
    </x:row>
    <x:row r="376">
      <x:c r="A376" s="68"/>
      <x:c r="B376" s="68"/>
      <x:c r="C376" s="68"/>
      <x:c r="D376" s="68"/>
      <x:c r="E376" s="68"/>
      <x:c r="F376" s="68"/>
      <x:c r="G376" s="68"/>
      <x:c r="H376" s="68"/>
      <x:c r="I376" s="68"/>
      <x:c r="J376" s="68"/>
      <x:c r="K376" s="68"/>
      <x:c r="L376" s="68"/>
      <x:c r="M376" s="68"/>
      <x:c r="N376" s="68"/>
      <x:c r="O376" s="68"/>
      <x:c r="P376" s="68"/>
      <x:c r="Q376" s="68"/>
      <x:c r="R376" s="68"/>
      <x:c r="S376" s="68"/>
      <x:c r="T376" s="68"/>
      <x:c r="U376" s="68"/>
      <x:c r="V376" s="68"/>
      <x:c r="W376" s="68"/>
      <x:c r="X376" s="68"/>
      <x:c r="Y376" s="68"/>
      <x:c r="Z376" s="68"/>
    </x:row>
    <x:row r="377">
      <x:c r="A377" s="68"/>
      <x:c r="B377" s="68"/>
      <x:c r="C377" s="68"/>
      <x:c r="D377" s="68"/>
      <x:c r="E377" s="68"/>
      <x:c r="F377" s="68"/>
      <x:c r="G377" s="68"/>
      <x:c r="H377" s="68"/>
      <x:c r="I377" s="68"/>
      <x:c r="J377" s="68"/>
      <x:c r="K377" s="68"/>
      <x:c r="L377" s="68"/>
      <x:c r="M377" s="68"/>
      <x:c r="N377" s="68"/>
      <x:c r="O377" s="68"/>
      <x:c r="P377" s="68"/>
      <x:c r="Q377" s="68"/>
      <x:c r="R377" s="68"/>
      <x:c r="S377" s="68"/>
      <x:c r="T377" s="68"/>
      <x:c r="U377" s="68"/>
      <x:c r="V377" s="68"/>
      <x:c r="W377" s="68"/>
      <x:c r="X377" s="68"/>
      <x:c r="Y377" s="68"/>
      <x:c r="Z377" s="68"/>
    </x:row>
    <x:row r="378">
      <x:c r="A378" s="68"/>
      <x:c r="B378" s="68"/>
      <x:c r="C378" s="68"/>
      <x:c r="D378" s="68"/>
      <x:c r="E378" s="68"/>
      <x:c r="F378" s="68"/>
      <x:c r="G378" s="68"/>
      <x:c r="H378" s="68"/>
      <x:c r="I378" s="68"/>
      <x:c r="J378" s="68"/>
      <x:c r="K378" s="68"/>
      <x:c r="L378" s="68"/>
      <x:c r="M378" s="68"/>
      <x:c r="N378" s="68"/>
      <x:c r="O378" s="68"/>
      <x:c r="P378" s="68"/>
      <x:c r="Q378" s="68"/>
      <x:c r="R378" s="68"/>
      <x:c r="S378" s="68"/>
      <x:c r="T378" s="68"/>
      <x:c r="U378" s="68"/>
      <x:c r="V378" s="68"/>
      <x:c r="W378" s="68"/>
      <x:c r="X378" s="68"/>
      <x:c r="Y378" s="68"/>
      <x:c r="Z378" s="68"/>
    </x:row>
    <x:row r="379">
      <x:c r="A379" s="68"/>
      <x:c r="B379" s="68"/>
      <x:c r="C379" s="68"/>
      <x:c r="D379" s="68"/>
      <x:c r="E379" s="68"/>
      <x:c r="F379" s="68"/>
      <x:c r="G379" s="68"/>
      <x:c r="H379" s="68"/>
      <x:c r="I379" s="68"/>
      <x:c r="J379" s="68"/>
      <x:c r="K379" s="68"/>
      <x:c r="L379" s="68"/>
      <x:c r="M379" s="68"/>
      <x:c r="N379" s="68"/>
      <x:c r="O379" s="68"/>
      <x:c r="P379" s="68"/>
      <x:c r="Q379" s="68"/>
      <x:c r="R379" s="68"/>
      <x:c r="S379" s="68"/>
      <x:c r="T379" s="68"/>
      <x:c r="U379" s="68"/>
      <x:c r="V379" s="68"/>
      <x:c r="W379" s="68"/>
      <x:c r="X379" s="68"/>
      <x:c r="Y379" s="68"/>
      <x:c r="Z379" s="68"/>
    </x:row>
    <x:row r="380">
      <x:c r="A380" s="68"/>
      <x:c r="B380" s="68"/>
      <x:c r="C380" s="68"/>
      <x:c r="D380" s="68"/>
      <x:c r="E380" s="68"/>
      <x:c r="F380" s="68"/>
      <x:c r="G380" s="68"/>
      <x:c r="H380" s="68"/>
      <x:c r="I380" s="68"/>
      <x:c r="J380" s="68"/>
      <x:c r="K380" s="68"/>
      <x:c r="L380" s="68"/>
      <x:c r="M380" s="68"/>
      <x:c r="N380" s="68"/>
      <x:c r="O380" s="68"/>
      <x:c r="P380" s="68"/>
      <x:c r="Q380" s="68"/>
      <x:c r="R380" s="68"/>
      <x:c r="S380" s="68"/>
      <x:c r="T380" s="68"/>
      <x:c r="U380" s="68"/>
      <x:c r="V380" s="68"/>
      <x:c r="W380" s="68"/>
      <x:c r="X380" s="68"/>
      <x:c r="Y380" s="68"/>
      <x:c r="Z380" s="68"/>
    </x:row>
    <x:row r="381">
      <x:c r="A381" s="68"/>
      <x:c r="B381" s="68"/>
      <x:c r="C381" s="68"/>
      <x:c r="D381" s="68"/>
      <x:c r="E381" s="68"/>
      <x:c r="F381" s="68"/>
      <x:c r="G381" s="68"/>
      <x:c r="H381" s="68"/>
      <x:c r="I381" s="68"/>
      <x:c r="J381" s="68"/>
      <x:c r="K381" s="68"/>
      <x:c r="L381" s="68"/>
      <x:c r="M381" s="68"/>
      <x:c r="N381" s="68"/>
      <x:c r="O381" s="68"/>
      <x:c r="P381" s="68"/>
      <x:c r="Q381" s="68"/>
      <x:c r="R381" s="68"/>
      <x:c r="S381" s="68"/>
      <x:c r="T381" s="68"/>
      <x:c r="U381" s="68"/>
      <x:c r="V381" s="68"/>
      <x:c r="W381" s="68"/>
      <x:c r="X381" s="68"/>
      <x:c r="Y381" s="68"/>
      <x:c r="Z381" s="68"/>
    </x:row>
    <x:row r="382">
      <x:c r="A382" s="68"/>
      <x:c r="B382" s="68"/>
      <x:c r="C382" s="68"/>
      <x:c r="D382" s="68"/>
      <x:c r="E382" s="68"/>
      <x:c r="F382" s="68"/>
      <x:c r="G382" s="68"/>
      <x:c r="H382" s="68"/>
      <x:c r="I382" s="68"/>
      <x:c r="J382" s="68"/>
      <x:c r="K382" s="68"/>
      <x:c r="L382" s="68"/>
      <x:c r="M382" s="68"/>
      <x:c r="N382" s="68"/>
      <x:c r="O382" s="68"/>
      <x:c r="P382" s="68"/>
      <x:c r="Q382" s="68"/>
      <x:c r="R382" s="68"/>
      <x:c r="S382" s="68"/>
      <x:c r="T382" s="68"/>
      <x:c r="U382" s="68"/>
      <x:c r="V382" s="68"/>
      <x:c r="W382" s="68"/>
      <x:c r="X382" s="68"/>
      <x:c r="Y382" s="68"/>
      <x:c r="Z382" s="68"/>
    </x:row>
    <x:row r="383">
      <x:c r="A383" s="68"/>
      <x:c r="B383" s="68"/>
      <x:c r="C383" s="68"/>
      <x:c r="D383" s="68"/>
      <x:c r="E383" s="68"/>
      <x:c r="F383" s="68"/>
      <x:c r="G383" s="68"/>
      <x:c r="H383" s="68"/>
      <x:c r="I383" s="68"/>
      <x:c r="J383" s="68"/>
      <x:c r="K383" s="68"/>
      <x:c r="L383" s="68"/>
      <x:c r="M383" s="68"/>
      <x:c r="N383" s="68"/>
      <x:c r="O383" s="68"/>
      <x:c r="P383" s="68"/>
      <x:c r="Q383" s="68"/>
      <x:c r="R383" s="68"/>
      <x:c r="S383" s="68"/>
      <x:c r="T383" s="68"/>
      <x:c r="U383" s="68"/>
      <x:c r="V383" s="68"/>
      <x:c r="W383" s="68"/>
      <x:c r="X383" s="68"/>
      <x:c r="Y383" s="68"/>
      <x:c r="Z383" s="68"/>
    </x:row>
    <x:row r="384">
      <x:c r="A384" s="68"/>
      <x:c r="B384" s="68"/>
      <x:c r="C384" s="68"/>
      <x:c r="D384" s="68"/>
      <x:c r="E384" s="68"/>
      <x:c r="F384" s="68"/>
      <x:c r="G384" s="68"/>
      <x:c r="H384" s="68"/>
      <x:c r="I384" s="68"/>
      <x:c r="J384" s="68"/>
      <x:c r="K384" s="68"/>
      <x:c r="L384" s="68"/>
      <x:c r="M384" s="68"/>
      <x:c r="N384" s="68"/>
      <x:c r="O384" s="68"/>
      <x:c r="P384" s="68"/>
      <x:c r="Q384" s="68"/>
      <x:c r="R384" s="68"/>
      <x:c r="S384" s="68"/>
      <x:c r="T384" s="68"/>
      <x:c r="U384" s="68"/>
      <x:c r="V384" s="68"/>
      <x:c r="W384" s="68"/>
      <x:c r="X384" s="68"/>
      <x:c r="Y384" s="68"/>
      <x:c r="Z384" s="68"/>
    </x:row>
    <x:row r="385">
      <x:c r="A385" s="68"/>
      <x:c r="B385" s="68"/>
      <x:c r="C385" s="68"/>
      <x:c r="D385" s="68"/>
      <x:c r="E385" s="68"/>
      <x:c r="F385" s="68"/>
      <x:c r="G385" s="68"/>
      <x:c r="H385" s="68"/>
      <x:c r="I385" s="68"/>
      <x:c r="J385" s="68"/>
      <x:c r="K385" s="68"/>
      <x:c r="L385" s="68"/>
      <x:c r="M385" s="68"/>
      <x:c r="N385" s="68"/>
      <x:c r="O385" s="68"/>
      <x:c r="P385" s="68"/>
      <x:c r="Q385" s="68"/>
      <x:c r="R385" s="68"/>
      <x:c r="S385" s="68"/>
      <x:c r="T385" s="68"/>
      <x:c r="U385" s="68"/>
      <x:c r="V385" s="68"/>
      <x:c r="W385" s="68"/>
      <x:c r="X385" s="68"/>
      <x:c r="Y385" s="68"/>
      <x:c r="Z385" s="68"/>
    </x:row>
    <x:row r="386">
      <x:c r="A386" s="68"/>
      <x:c r="B386" s="68"/>
      <x:c r="C386" s="68"/>
      <x:c r="D386" s="68"/>
      <x:c r="E386" s="68"/>
      <x:c r="F386" s="68"/>
      <x:c r="G386" s="68"/>
      <x:c r="H386" s="68"/>
      <x:c r="I386" s="68"/>
      <x:c r="J386" s="68"/>
      <x:c r="K386" s="68"/>
      <x:c r="L386" s="68"/>
      <x:c r="M386" s="68"/>
      <x:c r="N386" s="68"/>
      <x:c r="O386" s="68"/>
      <x:c r="P386" s="68"/>
      <x:c r="Q386" s="68"/>
      <x:c r="R386" s="68"/>
      <x:c r="S386" s="68"/>
      <x:c r="T386" s="68"/>
      <x:c r="U386" s="68"/>
      <x:c r="V386" s="68"/>
      <x:c r="W386" s="68"/>
      <x:c r="X386" s="68"/>
      <x:c r="Y386" s="68"/>
      <x:c r="Z386" s="68"/>
    </x:row>
    <x:row r="387">
      <x:c r="A387" s="68"/>
      <x:c r="B387" s="68"/>
      <x:c r="C387" s="68"/>
      <x:c r="D387" s="68"/>
      <x:c r="E387" s="68"/>
      <x:c r="F387" s="68"/>
      <x:c r="G387" s="68"/>
      <x:c r="H387" s="68"/>
      <x:c r="I387" s="68"/>
      <x:c r="J387" s="68"/>
      <x:c r="K387" s="68"/>
      <x:c r="L387" s="68"/>
      <x:c r="M387" s="68"/>
      <x:c r="N387" s="68"/>
      <x:c r="O387" s="68"/>
      <x:c r="P387" s="68"/>
      <x:c r="Q387" s="68"/>
      <x:c r="R387" s="68"/>
      <x:c r="S387" s="68"/>
      <x:c r="T387" s="68"/>
      <x:c r="U387" s="68"/>
      <x:c r="V387" s="68"/>
      <x:c r="W387" s="68"/>
      <x:c r="X387" s="68"/>
      <x:c r="Y387" s="68"/>
      <x:c r="Z387" s="68"/>
    </x:row>
    <x:row r="388">
      <x:c r="A388" s="68"/>
      <x:c r="B388" s="68"/>
      <x:c r="C388" s="68"/>
      <x:c r="D388" s="68"/>
      <x:c r="E388" s="68"/>
      <x:c r="F388" s="68"/>
      <x:c r="G388" s="68"/>
      <x:c r="H388" s="68"/>
      <x:c r="I388" s="68"/>
      <x:c r="J388" s="68"/>
      <x:c r="K388" s="68"/>
      <x:c r="L388" s="68"/>
      <x:c r="M388" s="68"/>
      <x:c r="N388" s="68"/>
      <x:c r="O388" s="68"/>
      <x:c r="P388" s="68"/>
      <x:c r="Q388" s="68"/>
      <x:c r="R388" s="68"/>
      <x:c r="S388" s="68"/>
      <x:c r="T388" s="68"/>
      <x:c r="U388" s="68"/>
      <x:c r="V388" s="68"/>
      <x:c r="W388" s="68"/>
      <x:c r="X388" s="68"/>
      <x:c r="Y388" s="68"/>
      <x:c r="Z388" s="68"/>
    </x:row>
    <x:row r="389">
      <x:c r="A389" s="68"/>
      <x:c r="B389" s="68"/>
      <x:c r="C389" s="68"/>
      <x:c r="D389" s="68"/>
      <x:c r="E389" s="68"/>
      <x:c r="F389" s="68"/>
      <x:c r="G389" s="68"/>
      <x:c r="H389" s="68"/>
      <x:c r="I389" s="68"/>
      <x:c r="J389" s="68"/>
      <x:c r="K389" s="68"/>
      <x:c r="L389" s="68"/>
      <x:c r="M389" s="68"/>
      <x:c r="N389" s="68"/>
      <x:c r="O389" s="68"/>
      <x:c r="P389" s="68"/>
      <x:c r="Q389" s="68"/>
      <x:c r="R389" s="68"/>
      <x:c r="S389" s="68"/>
      <x:c r="T389" s="68"/>
      <x:c r="U389" s="68"/>
      <x:c r="V389" s="68"/>
      <x:c r="W389" s="68"/>
      <x:c r="X389" s="68"/>
      <x:c r="Y389" s="68"/>
      <x:c r="Z389" s="68"/>
    </x:row>
    <x:row r="390">
      <x:c r="A390" s="68"/>
      <x:c r="B390" s="68"/>
      <x:c r="C390" s="68"/>
      <x:c r="D390" s="68"/>
      <x:c r="E390" s="68"/>
      <x:c r="F390" s="68"/>
      <x:c r="G390" s="68"/>
      <x:c r="H390" s="68"/>
      <x:c r="I390" s="68"/>
      <x:c r="J390" s="68"/>
      <x:c r="K390" s="68"/>
      <x:c r="L390" s="68"/>
      <x:c r="M390" s="68"/>
      <x:c r="N390" s="68"/>
      <x:c r="O390" s="68"/>
      <x:c r="P390" s="68"/>
      <x:c r="Q390" s="68"/>
      <x:c r="R390" s="68"/>
      <x:c r="S390" s="68"/>
      <x:c r="T390" s="68"/>
      <x:c r="U390" s="68"/>
      <x:c r="V390" s="68"/>
      <x:c r="W390" s="68"/>
      <x:c r="X390" s="68"/>
      <x:c r="Y390" s="68"/>
      <x:c r="Z390" s="68"/>
    </x:row>
    <x:row r="391">
      <x:c r="A391" s="68"/>
      <x:c r="B391" s="68"/>
      <x:c r="C391" s="68"/>
      <x:c r="D391" s="68"/>
      <x:c r="E391" s="68"/>
      <x:c r="F391" s="68"/>
      <x:c r="G391" s="68"/>
      <x:c r="H391" s="68"/>
      <x:c r="I391" s="68"/>
      <x:c r="J391" s="68"/>
      <x:c r="K391" s="68"/>
      <x:c r="L391" s="68"/>
      <x:c r="M391" s="68"/>
      <x:c r="N391" s="68"/>
      <x:c r="O391" s="68"/>
      <x:c r="P391" s="68"/>
      <x:c r="Q391" s="68"/>
      <x:c r="R391" s="68"/>
      <x:c r="S391" s="68"/>
      <x:c r="T391" s="68"/>
      <x:c r="U391" s="68"/>
      <x:c r="V391" s="68"/>
      <x:c r="W391" s="68"/>
      <x:c r="X391" s="68"/>
      <x:c r="Y391" s="68"/>
      <x:c r="Z391" s="68"/>
    </x:row>
    <x:row r="392">
      <x:c r="A392" s="68"/>
      <x:c r="B392" s="68"/>
      <x:c r="C392" s="68"/>
      <x:c r="D392" s="68"/>
      <x:c r="E392" s="68"/>
      <x:c r="F392" s="68"/>
      <x:c r="G392" s="68"/>
      <x:c r="H392" s="68"/>
      <x:c r="I392" s="68"/>
      <x:c r="J392" s="68"/>
      <x:c r="K392" s="68"/>
      <x:c r="L392" s="68"/>
      <x:c r="M392" s="68"/>
      <x:c r="N392" s="68"/>
      <x:c r="O392" s="68"/>
      <x:c r="P392" s="68"/>
      <x:c r="Q392" s="68"/>
      <x:c r="R392" s="68"/>
      <x:c r="S392" s="68"/>
      <x:c r="T392" s="68"/>
      <x:c r="U392" s="68"/>
      <x:c r="V392" s="68"/>
      <x:c r="W392" s="68"/>
      <x:c r="X392" s="68"/>
      <x:c r="Y392" s="68"/>
      <x:c r="Z392" s="68"/>
    </x:row>
    <x:row r="393">
      <x:c r="A393" s="68"/>
      <x:c r="B393" s="68"/>
      <x:c r="C393" s="68"/>
      <x:c r="D393" s="68"/>
      <x:c r="E393" s="68"/>
      <x:c r="F393" s="68"/>
      <x:c r="G393" s="68"/>
      <x:c r="H393" s="68"/>
      <x:c r="I393" s="68"/>
      <x:c r="J393" s="68"/>
      <x:c r="K393" s="68"/>
      <x:c r="L393" s="68"/>
      <x:c r="M393" s="68"/>
      <x:c r="N393" s="68"/>
      <x:c r="O393" s="68"/>
      <x:c r="P393" s="68"/>
      <x:c r="Q393" s="68"/>
      <x:c r="R393" s="68"/>
      <x:c r="S393" s="68"/>
      <x:c r="T393" s="68"/>
      <x:c r="U393" s="68"/>
      <x:c r="V393" s="68"/>
      <x:c r="W393" s="68"/>
      <x:c r="X393" s="68"/>
      <x:c r="Y393" s="68"/>
      <x:c r="Z393" s="68"/>
    </x:row>
    <x:row r="394">
      <x:c r="A394" s="68"/>
      <x:c r="B394" s="68"/>
      <x:c r="C394" s="68"/>
      <x:c r="D394" s="68"/>
      <x:c r="E394" s="68"/>
      <x:c r="F394" s="68"/>
      <x:c r="G394" s="68"/>
      <x:c r="H394" s="68"/>
      <x:c r="I394" s="68"/>
      <x:c r="J394" s="68"/>
      <x:c r="K394" s="68"/>
      <x:c r="L394" s="68"/>
      <x:c r="M394" s="68"/>
      <x:c r="N394" s="68"/>
      <x:c r="O394" s="68"/>
      <x:c r="P394" s="68"/>
      <x:c r="Q394" s="68"/>
      <x:c r="R394" s="68"/>
      <x:c r="S394" s="68"/>
      <x:c r="T394" s="68"/>
      <x:c r="U394" s="68"/>
      <x:c r="V394" s="68"/>
      <x:c r="W394" s="68"/>
      <x:c r="X394" s="68"/>
      <x:c r="Y394" s="68"/>
      <x:c r="Z394" s="68"/>
    </x:row>
    <x:row r="395">
      <x:c r="A395" s="68"/>
      <x:c r="B395" s="68"/>
      <x:c r="C395" s="68"/>
      <x:c r="D395" s="68"/>
      <x:c r="E395" s="68"/>
      <x:c r="F395" s="68"/>
      <x:c r="G395" s="68"/>
      <x:c r="H395" s="68"/>
      <x:c r="I395" s="68"/>
      <x:c r="J395" s="68"/>
      <x:c r="K395" s="68"/>
      <x:c r="L395" s="68"/>
      <x:c r="M395" s="68"/>
      <x:c r="N395" s="68"/>
      <x:c r="O395" s="68"/>
      <x:c r="P395" s="68"/>
      <x:c r="Q395" s="68"/>
      <x:c r="R395" s="68"/>
      <x:c r="S395" s="68"/>
      <x:c r="T395" s="68"/>
      <x:c r="U395" s="68"/>
      <x:c r="V395" s="68"/>
      <x:c r="W395" s="68"/>
      <x:c r="X395" s="68"/>
      <x:c r="Y395" s="68"/>
      <x:c r="Z395" s="68"/>
    </x:row>
    <x:row r="396">
      <x:c r="A396" s="68"/>
      <x:c r="B396" s="68"/>
      <x:c r="C396" s="68"/>
      <x:c r="D396" s="68"/>
      <x:c r="E396" s="68"/>
      <x:c r="F396" s="68"/>
      <x:c r="G396" s="68"/>
      <x:c r="H396" s="68"/>
      <x:c r="I396" s="68"/>
      <x:c r="J396" s="68"/>
      <x:c r="K396" s="68"/>
      <x:c r="L396" s="68"/>
      <x:c r="M396" s="68"/>
      <x:c r="N396" s="68"/>
      <x:c r="O396" s="68"/>
      <x:c r="P396" s="68"/>
      <x:c r="Q396" s="68"/>
      <x:c r="R396" s="68"/>
      <x:c r="S396" s="68"/>
      <x:c r="T396" s="68"/>
      <x:c r="U396" s="68"/>
      <x:c r="V396" s="68"/>
      <x:c r="W396" s="68"/>
      <x:c r="X396" s="68"/>
      <x:c r="Y396" s="68"/>
      <x:c r="Z396" s="68"/>
    </x:row>
    <x:row r="397">
      <x:c r="A397" s="68"/>
      <x:c r="B397" s="68"/>
      <x:c r="C397" s="68"/>
      <x:c r="D397" s="68"/>
      <x:c r="E397" s="68"/>
      <x:c r="F397" s="68"/>
      <x:c r="G397" s="68"/>
      <x:c r="H397" s="68"/>
      <x:c r="I397" s="68"/>
      <x:c r="J397" s="68"/>
      <x:c r="K397" s="68"/>
      <x:c r="L397" s="68"/>
      <x:c r="M397" s="68"/>
      <x:c r="N397" s="68"/>
      <x:c r="O397" s="68"/>
      <x:c r="P397" s="68"/>
      <x:c r="Q397" s="68"/>
      <x:c r="R397" s="68"/>
      <x:c r="S397" s="68"/>
      <x:c r="T397" s="68"/>
      <x:c r="U397" s="68"/>
      <x:c r="V397" s="68"/>
      <x:c r="W397" s="68"/>
      <x:c r="X397" s="68"/>
      <x:c r="Y397" s="68"/>
      <x:c r="Z397" s="68"/>
    </x:row>
    <x:row r="398">
      <x:c r="A398" s="68"/>
      <x:c r="B398" s="68"/>
      <x:c r="C398" s="68"/>
      <x:c r="D398" s="68"/>
      <x:c r="E398" s="68"/>
      <x:c r="F398" s="68"/>
      <x:c r="G398" s="68"/>
      <x:c r="H398" s="68"/>
      <x:c r="I398" s="68"/>
      <x:c r="J398" s="68"/>
      <x:c r="K398" s="68"/>
      <x:c r="L398" s="68"/>
      <x:c r="M398" s="68"/>
      <x:c r="N398" s="68"/>
      <x:c r="O398" s="68"/>
      <x:c r="P398" s="68"/>
      <x:c r="Q398" s="68"/>
      <x:c r="R398" s="68"/>
      <x:c r="S398" s="68"/>
      <x:c r="T398" s="68"/>
      <x:c r="U398" s="68"/>
      <x:c r="V398" s="68"/>
      <x:c r="W398" s="68"/>
      <x:c r="X398" s="68"/>
      <x:c r="Y398" s="68"/>
      <x:c r="Z398" s="68"/>
    </x:row>
    <x:row r="399">
      <x:c r="A399" s="68"/>
      <x:c r="B399" s="68"/>
      <x:c r="C399" s="68"/>
      <x:c r="D399" s="68"/>
      <x:c r="E399" s="68"/>
      <x:c r="F399" s="68"/>
      <x:c r="G399" s="68"/>
      <x:c r="H399" s="68"/>
      <x:c r="I399" s="68"/>
      <x:c r="J399" s="68"/>
      <x:c r="K399" s="68"/>
      <x:c r="L399" s="68"/>
      <x:c r="M399" s="68"/>
      <x:c r="N399" s="68"/>
      <x:c r="O399" s="68"/>
      <x:c r="P399" s="68"/>
      <x:c r="Q399" s="68"/>
      <x:c r="R399" s="68"/>
      <x:c r="S399" s="68"/>
      <x:c r="T399" s="68"/>
      <x:c r="U399" s="68"/>
      <x:c r="V399" s="68"/>
      <x:c r="W399" s="68"/>
      <x:c r="X399" s="68"/>
      <x:c r="Y399" s="68"/>
      <x:c r="Z399" s="68"/>
    </x:row>
    <x:row r="400">
      <x:c r="A400" s="68"/>
      <x:c r="B400" s="68"/>
      <x:c r="C400" s="68"/>
      <x:c r="D400" s="68"/>
      <x:c r="E400" s="68"/>
      <x:c r="F400" s="68"/>
      <x:c r="G400" s="68"/>
      <x:c r="H400" s="68"/>
      <x:c r="I400" s="68"/>
      <x:c r="J400" s="68"/>
      <x:c r="K400" s="68"/>
      <x:c r="L400" s="68"/>
      <x:c r="M400" s="68"/>
      <x:c r="N400" s="68"/>
      <x:c r="O400" s="68"/>
      <x:c r="P400" s="68"/>
      <x:c r="Q400" s="68"/>
      <x:c r="R400" s="68"/>
      <x:c r="S400" s="68"/>
      <x:c r="T400" s="68"/>
      <x:c r="U400" s="68"/>
      <x:c r="V400" s="68"/>
      <x:c r="W400" s="68"/>
      <x:c r="X400" s="68"/>
      <x:c r="Y400" s="68"/>
      <x:c r="Z400" s="68"/>
    </x:row>
    <x:row r="401">
      <x:c r="A401" s="68"/>
      <x:c r="B401" s="68"/>
      <x:c r="C401" s="68"/>
      <x:c r="D401" s="68"/>
      <x:c r="E401" s="68"/>
      <x:c r="F401" s="68"/>
      <x:c r="G401" s="68"/>
      <x:c r="H401" s="68"/>
      <x:c r="I401" s="68"/>
      <x:c r="J401" s="68"/>
      <x:c r="K401" s="68"/>
      <x:c r="L401" s="68"/>
      <x:c r="M401" s="68"/>
      <x:c r="N401" s="68"/>
      <x:c r="O401" s="68"/>
      <x:c r="P401" s="68"/>
      <x:c r="Q401" s="68"/>
      <x:c r="R401" s="68"/>
      <x:c r="S401" s="68"/>
      <x:c r="T401" s="68"/>
      <x:c r="U401" s="68"/>
      <x:c r="V401" s="68"/>
      <x:c r="W401" s="68"/>
      <x:c r="X401" s="68"/>
      <x:c r="Y401" s="68"/>
      <x:c r="Z401" s="68"/>
    </x:row>
    <x:row r="402">
      <x:c r="A402" s="68"/>
      <x:c r="B402" s="68"/>
      <x:c r="C402" s="68"/>
      <x:c r="D402" s="68"/>
      <x:c r="E402" s="68"/>
      <x:c r="F402" s="68"/>
      <x:c r="G402" s="68"/>
      <x:c r="H402" s="68"/>
      <x:c r="I402" s="68"/>
      <x:c r="J402" s="68"/>
      <x:c r="K402" s="68"/>
      <x:c r="L402" s="68"/>
      <x:c r="M402" s="68"/>
      <x:c r="N402" s="68"/>
      <x:c r="O402" s="68"/>
      <x:c r="P402" s="68"/>
      <x:c r="Q402" s="68"/>
      <x:c r="R402" s="68"/>
      <x:c r="S402" s="68"/>
      <x:c r="T402" s="68"/>
      <x:c r="U402" s="68"/>
      <x:c r="V402" s="68"/>
      <x:c r="W402" s="68"/>
      <x:c r="X402" s="68"/>
      <x:c r="Y402" s="68"/>
      <x:c r="Z402" s="68"/>
    </x:row>
    <x:row r="403">
      <x:c r="A403" s="68"/>
      <x:c r="B403" s="68"/>
      <x:c r="C403" s="68"/>
      <x:c r="D403" s="68"/>
      <x:c r="E403" s="68"/>
      <x:c r="F403" s="68"/>
      <x:c r="G403" s="68"/>
      <x:c r="H403" s="68"/>
      <x:c r="I403" s="68"/>
      <x:c r="J403" s="68"/>
      <x:c r="K403" s="68"/>
      <x:c r="L403" s="68"/>
      <x:c r="M403" s="68"/>
      <x:c r="N403" s="68"/>
      <x:c r="O403" s="68"/>
      <x:c r="P403" s="68"/>
      <x:c r="Q403" s="68"/>
      <x:c r="R403" s="68"/>
      <x:c r="S403" s="68"/>
      <x:c r="T403" s="68"/>
      <x:c r="U403" s="68"/>
      <x:c r="V403" s="68"/>
      <x:c r="W403" s="68"/>
      <x:c r="X403" s="68"/>
      <x:c r="Y403" s="68"/>
      <x:c r="Z403" s="68"/>
    </x:row>
    <x:row r="404">
      <x:c r="A404" s="68"/>
      <x:c r="B404" s="68"/>
      <x:c r="C404" s="68"/>
      <x:c r="D404" s="68"/>
      <x:c r="E404" s="68"/>
      <x:c r="F404" s="68"/>
      <x:c r="G404" s="68"/>
      <x:c r="H404" s="68"/>
      <x:c r="I404" s="68"/>
      <x:c r="J404" s="68"/>
      <x:c r="K404" s="68"/>
      <x:c r="L404" s="68"/>
      <x:c r="M404" s="68"/>
      <x:c r="N404" s="68"/>
      <x:c r="O404" s="68"/>
      <x:c r="P404" s="68"/>
      <x:c r="Q404" s="68"/>
      <x:c r="R404" s="68"/>
      <x:c r="S404" s="68"/>
      <x:c r="T404" s="68"/>
      <x:c r="U404" s="68"/>
      <x:c r="V404" s="68"/>
      <x:c r="W404" s="68"/>
      <x:c r="X404" s="68"/>
      <x:c r="Y404" s="68"/>
      <x:c r="Z404" s="68"/>
    </x:row>
    <x:row r="405">
      <x:c r="A405" s="68"/>
      <x:c r="B405" s="68"/>
      <x:c r="C405" s="68"/>
      <x:c r="D405" s="68"/>
      <x:c r="E405" s="68"/>
      <x:c r="F405" s="68"/>
      <x:c r="G405" s="68"/>
      <x:c r="H405" s="68"/>
      <x:c r="I405" s="68"/>
      <x:c r="J405" s="68"/>
      <x:c r="K405" s="68"/>
      <x:c r="L405" s="68"/>
      <x:c r="M405" s="68"/>
      <x:c r="N405" s="68"/>
      <x:c r="O405" s="68"/>
      <x:c r="P405" s="68"/>
      <x:c r="Q405" s="68"/>
      <x:c r="R405" s="68"/>
      <x:c r="S405" s="68"/>
      <x:c r="T405" s="68"/>
      <x:c r="U405" s="68"/>
      <x:c r="V405" s="68"/>
      <x:c r="W405" s="68"/>
      <x:c r="X405" s="68"/>
      <x:c r="Y405" s="68"/>
      <x:c r="Z405" s="68"/>
    </x:row>
    <x:row r="406">
      <x:c r="A406" s="68"/>
      <x:c r="B406" s="68"/>
      <x:c r="C406" s="68"/>
      <x:c r="D406" s="68"/>
      <x:c r="E406" s="68"/>
      <x:c r="F406" s="68"/>
      <x:c r="G406" s="68"/>
      <x:c r="H406" s="68"/>
      <x:c r="I406" s="68"/>
      <x:c r="J406" s="68"/>
      <x:c r="K406" s="68"/>
      <x:c r="L406" s="68"/>
      <x:c r="M406" s="68"/>
      <x:c r="N406" s="68"/>
      <x:c r="O406" s="68"/>
      <x:c r="P406" s="68"/>
      <x:c r="Q406" s="68"/>
      <x:c r="R406" s="68"/>
      <x:c r="S406" s="68"/>
      <x:c r="T406" s="68"/>
      <x:c r="U406" s="68"/>
      <x:c r="V406" s="68"/>
      <x:c r="W406" s="68"/>
      <x:c r="X406" s="68"/>
      <x:c r="Y406" s="68"/>
      <x:c r="Z406" s="68"/>
    </x:row>
    <x:row r="407">
      <x:c r="A407" s="68"/>
      <x:c r="B407" s="68"/>
      <x:c r="C407" s="68"/>
      <x:c r="D407" s="68"/>
      <x:c r="E407" s="68"/>
      <x:c r="F407" s="68"/>
      <x:c r="G407" s="68"/>
      <x:c r="H407" s="68"/>
      <x:c r="I407" s="68"/>
      <x:c r="J407" s="68"/>
      <x:c r="K407" s="68"/>
      <x:c r="L407" s="68"/>
      <x:c r="M407" s="68"/>
      <x:c r="N407" s="68"/>
      <x:c r="O407" s="68"/>
      <x:c r="P407" s="68"/>
      <x:c r="Q407" s="68"/>
      <x:c r="R407" s="68"/>
      <x:c r="S407" s="68"/>
      <x:c r="T407" s="68"/>
      <x:c r="U407" s="68"/>
      <x:c r="V407" s="68"/>
      <x:c r="W407" s="68"/>
      <x:c r="X407" s="68"/>
      <x:c r="Y407" s="68"/>
      <x:c r="Z407" s="68"/>
    </x:row>
    <x:row r="408">
      <x:c r="A408" s="68"/>
      <x:c r="B408" s="68"/>
      <x:c r="C408" s="68"/>
      <x:c r="D408" s="68"/>
      <x:c r="E408" s="68"/>
      <x:c r="F408" s="68"/>
      <x:c r="G408" s="68"/>
      <x:c r="H408" s="68"/>
      <x:c r="I408" s="68"/>
      <x:c r="J408" s="68"/>
      <x:c r="K408" s="68"/>
      <x:c r="L408" s="68"/>
      <x:c r="M408" s="68"/>
      <x:c r="N408" s="68"/>
      <x:c r="O408" s="68"/>
      <x:c r="P408" s="68"/>
      <x:c r="Q408" s="68"/>
      <x:c r="R408" s="68"/>
      <x:c r="S408" s="68"/>
      <x:c r="T408" s="68"/>
      <x:c r="U408" s="68"/>
      <x:c r="V408" s="68"/>
      <x:c r="W408" s="68"/>
      <x:c r="X408" s="68"/>
      <x:c r="Y408" s="68"/>
      <x:c r="Z408" s="68"/>
    </x:row>
    <x:row r="409">
      <x:c r="A409" s="68"/>
      <x:c r="B409" s="68"/>
      <x:c r="C409" s="68"/>
      <x:c r="D409" s="68"/>
      <x:c r="E409" s="68"/>
      <x:c r="F409" s="68"/>
      <x:c r="G409" s="68"/>
      <x:c r="H409" s="68"/>
      <x:c r="I409" s="68"/>
      <x:c r="J409" s="68"/>
      <x:c r="K409" s="68"/>
      <x:c r="L409" s="68"/>
      <x:c r="M409" s="68"/>
      <x:c r="N409" s="68"/>
      <x:c r="O409" s="68"/>
      <x:c r="P409" s="68"/>
      <x:c r="Q409" s="68"/>
      <x:c r="R409" s="68"/>
      <x:c r="S409" s="68"/>
      <x:c r="T409" s="68"/>
      <x:c r="U409" s="68"/>
      <x:c r="V409" s="68"/>
      <x:c r="W409" s="68"/>
      <x:c r="X409" s="68"/>
      <x:c r="Y409" s="68"/>
      <x:c r="Z409" s="68"/>
    </x:row>
    <x:row r="410">
      <x:c r="A410" s="68"/>
      <x:c r="B410" s="68"/>
      <x:c r="C410" s="68"/>
      <x:c r="D410" s="68"/>
      <x:c r="E410" s="68"/>
      <x:c r="F410" s="68"/>
      <x:c r="G410" s="68"/>
      <x:c r="H410" s="68"/>
      <x:c r="I410" s="68"/>
      <x:c r="J410" s="68"/>
      <x:c r="K410" s="68"/>
      <x:c r="L410" s="68"/>
      <x:c r="M410" s="68"/>
      <x:c r="N410" s="68"/>
      <x:c r="O410" s="68"/>
      <x:c r="P410" s="68"/>
      <x:c r="Q410" s="68"/>
      <x:c r="R410" s="68"/>
      <x:c r="S410" s="68"/>
      <x:c r="T410" s="68"/>
      <x:c r="U410" s="68"/>
      <x:c r="V410" s="68"/>
      <x:c r="W410" s="68"/>
      <x:c r="X410" s="68"/>
      <x:c r="Y410" s="68"/>
      <x:c r="Z410" s="68"/>
    </x:row>
    <x:row r="411">
      <x:c r="A411" s="68"/>
      <x:c r="B411" s="68"/>
      <x:c r="C411" s="68"/>
      <x:c r="D411" s="68"/>
      <x:c r="E411" s="68"/>
      <x:c r="F411" s="68"/>
      <x:c r="G411" s="68"/>
      <x:c r="H411" s="68"/>
      <x:c r="I411" s="68"/>
      <x:c r="J411" s="68"/>
      <x:c r="K411" s="68"/>
      <x:c r="L411" s="68"/>
      <x:c r="M411" s="68"/>
      <x:c r="N411" s="68"/>
      <x:c r="O411" s="68"/>
      <x:c r="P411" s="68"/>
      <x:c r="Q411" s="68"/>
      <x:c r="R411" s="68"/>
      <x:c r="S411" s="68"/>
      <x:c r="T411" s="68"/>
      <x:c r="U411" s="68"/>
      <x:c r="V411" s="68"/>
      <x:c r="W411" s="68"/>
      <x:c r="X411" s="68"/>
      <x:c r="Y411" s="68"/>
      <x:c r="Z411" s="68"/>
    </x:row>
    <x:row r="412">
      <x:c r="A412" s="68"/>
      <x:c r="B412" s="68"/>
      <x:c r="C412" s="68"/>
      <x:c r="D412" s="68"/>
      <x:c r="E412" s="68"/>
      <x:c r="F412" s="68"/>
      <x:c r="G412" s="68"/>
      <x:c r="H412" s="68"/>
      <x:c r="I412" s="68"/>
      <x:c r="J412" s="68"/>
      <x:c r="K412" s="68"/>
      <x:c r="L412" s="68"/>
      <x:c r="M412" s="68"/>
      <x:c r="N412" s="68"/>
      <x:c r="O412" s="68"/>
      <x:c r="P412" s="68"/>
      <x:c r="Q412" s="68"/>
      <x:c r="R412" s="68"/>
      <x:c r="S412" s="68"/>
      <x:c r="T412" s="68"/>
      <x:c r="U412" s="68"/>
      <x:c r="V412" s="68"/>
      <x:c r="W412" s="68"/>
      <x:c r="X412" s="68"/>
      <x:c r="Y412" s="68"/>
      <x:c r="Z412" s="68"/>
    </x:row>
    <x:row r="413">
      <x:c r="A413" s="68"/>
      <x:c r="B413" s="68"/>
      <x:c r="C413" s="68"/>
      <x:c r="D413" s="68"/>
      <x:c r="E413" s="68"/>
      <x:c r="F413" s="68"/>
      <x:c r="G413" s="68"/>
      <x:c r="H413" s="68"/>
      <x:c r="I413" s="68"/>
      <x:c r="J413" s="68"/>
      <x:c r="K413" s="68"/>
      <x:c r="L413" s="68"/>
      <x:c r="M413" s="68"/>
      <x:c r="N413" s="68"/>
      <x:c r="O413" s="68"/>
      <x:c r="P413" s="68"/>
      <x:c r="Q413" s="68"/>
      <x:c r="R413" s="68"/>
      <x:c r="S413" s="68"/>
      <x:c r="T413" s="68"/>
      <x:c r="U413" s="68"/>
      <x:c r="V413" s="68"/>
      <x:c r="W413" s="68"/>
      <x:c r="X413" s="68"/>
      <x:c r="Y413" s="68"/>
      <x:c r="Z413" s="68"/>
    </x:row>
    <x:row r="414">
      <x:c r="A414" s="68"/>
      <x:c r="B414" s="68"/>
      <x:c r="C414" s="68"/>
      <x:c r="D414" s="68"/>
      <x:c r="E414" s="68"/>
      <x:c r="F414" s="68"/>
      <x:c r="G414" s="68"/>
      <x:c r="H414" s="68"/>
      <x:c r="I414" s="68"/>
      <x:c r="J414" s="68"/>
      <x:c r="K414" s="68"/>
      <x:c r="L414" s="68"/>
      <x:c r="M414" s="68"/>
      <x:c r="N414" s="68"/>
      <x:c r="O414" s="68"/>
      <x:c r="P414" s="68"/>
      <x:c r="Q414" s="68"/>
      <x:c r="R414" s="68"/>
      <x:c r="S414" s="68"/>
      <x:c r="T414" s="68"/>
      <x:c r="U414" s="68"/>
      <x:c r="V414" s="68"/>
      <x:c r="W414" s="68"/>
      <x:c r="X414" s="68"/>
      <x:c r="Y414" s="68"/>
      <x:c r="Z414" s="68"/>
    </x:row>
    <x:row r="415">
      <x:c r="A415" s="68"/>
      <x:c r="B415" s="68"/>
      <x:c r="C415" s="68"/>
      <x:c r="D415" s="68"/>
      <x:c r="E415" s="68"/>
      <x:c r="F415" s="68"/>
      <x:c r="G415" s="68"/>
      <x:c r="H415" s="68"/>
      <x:c r="I415" s="68"/>
      <x:c r="J415" s="68"/>
      <x:c r="K415" s="68"/>
      <x:c r="L415" s="68"/>
      <x:c r="M415" s="68"/>
      <x:c r="N415" s="68"/>
      <x:c r="O415" s="68"/>
      <x:c r="P415" s="68"/>
      <x:c r="Q415" s="68"/>
      <x:c r="R415" s="68"/>
      <x:c r="S415" s="68"/>
      <x:c r="T415" s="68"/>
      <x:c r="U415" s="68"/>
      <x:c r="V415" s="68"/>
      <x:c r="W415" s="68"/>
      <x:c r="X415" s="68"/>
      <x:c r="Y415" s="68"/>
      <x:c r="Z415" s="68"/>
    </x:row>
    <x:row r="416">
      <x:c r="A416" s="68"/>
      <x:c r="B416" s="68"/>
      <x:c r="C416" s="68"/>
      <x:c r="D416" s="68"/>
      <x:c r="E416" s="68"/>
      <x:c r="F416" s="68"/>
      <x:c r="G416" s="68"/>
      <x:c r="H416" s="68"/>
      <x:c r="I416" s="68"/>
      <x:c r="J416" s="68"/>
      <x:c r="K416" s="68"/>
      <x:c r="L416" s="68"/>
      <x:c r="M416" s="68"/>
      <x:c r="N416" s="68"/>
      <x:c r="O416" s="68"/>
      <x:c r="P416" s="68"/>
      <x:c r="Q416" s="68"/>
      <x:c r="R416" s="68"/>
      <x:c r="S416" s="68"/>
      <x:c r="T416" s="68"/>
      <x:c r="U416" s="68"/>
      <x:c r="V416" s="68"/>
      <x:c r="W416" s="68"/>
      <x:c r="X416" s="68"/>
      <x:c r="Y416" s="68"/>
      <x:c r="Z416" s="68"/>
    </x:row>
    <x:row r="417">
      <x:c r="A417" s="68"/>
      <x:c r="B417" s="68"/>
      <x:c r="C417" s="68"/>
      <x:c r="D417" s="68"/>
      <x:c r="E417" s="68"/>
      <x:c r="F417" s="68"/>
      <x:c r="G417" s="68"/>
      <x:c r="H417" s="68"/>
      <x:c r="I417" s="68"/>
      <x:c r="J417" s="68"/>
      <x:c r="K417" s="68"/>
      <x:c r="L417" s="68"/>
      <x:c r="M417" s="68"/>
      <x:c r="N417" s="68"/>
      <x:c r="O417" s="68"/>
      <x:c r="P417" s="68"/>
      <x:c r="Q417" s="68"/>
      <x:c r="R417" s="68"/>
      <x:c r="S417" s="68"/>
      <x:c r="T417" s="68"/>
      <x:c r="U417" s="68"/>
      <x:c r="V417" s="68"/>
      <x:c r="W417" s="68"/>
      <x:c r="X417" s="68"/>
      <x:c r="Y417" s="68"/>
      <x:c r="Z417" s="68"/>
    </x:row>
    <x:row r="418">
      <x:c r="A418" s="68"/>
      <x:c r="B418" s="68"/>
      <x:c r="C418" s="68"/>
      <x:c r="D418" s="68"/>
      <x:c r="E418" s="68"/>
      <x:c r="F418" s="68"/>
      <x:c r="G418" s="68"/>
      <x:c r="H418" s="68"/>
      <x:c r="I418" s="68"/>
      <x:c r="J418" s="68"/>
      <x:c r="K418" s="68"/>
      <x:c r="L418" s="68"/>
      <x:c r="M418" s="68"/>
      <x:c r="N418" s="68"/>
      <x:c r="O418" s="68"/>
      <x:c r="P418" s="68"/>
      <x:c r="Q418" s="68"/>
      <x:c r="R418" s="68"/>
      <x:c r="S418" s="68"/>
      <x:c r="T418" s="68"/>
      <x:c r="U418" s="68"/>
      <x:c r="V418" s="68"/>
      <x:c r="W418" s="68"/>
      <x:c r="X418" s="68"/>
      <x:c r="Y418" s="68"/>
      <x:c r="Z418" s="68"/>
    </x:row>
    <x:row r="419">
      <x:c r="A419" s="68"/>
      <x:c r="B419" s="68"/>
      <x:c r="C419" s="68"/>
      <x:c r="D419" s="68"/>
      <x:c r="E419" s="68"/>
      <x:c r="F419" s="68"/>
      <x:c r="G419" s="68"/>
      <x:c r="H419" s="68"/>
      <x:c r="I419" s="68"/>
      <x:c r="J419" s="68"/>
      <x:c r="K419" s="68"/>
      <x:c r="L419" s="68"/>
      <x:c r="M419" s="68"/>
      <x:c r="N419" s="68"/>
      <x:c r="O419" s="68"/>
      <x:c r="P419" s="68"/>
      <x:c r="Q419" s="68"/>
      <x:c r="R419" s="68"/>
      <x:c r="S419" s="68"/>
      <x:c r="T419" s="68"/>
      <x:c r="U419" s="68"/>
      <x:c r="V419" s="68"/>
      <x:c r="W419" s="68"/>
      <x:c r="X419" s="68"/>
      <x:c r="Y419" s="68"/>
      <x:c r="Z419" s="68"/>
    </x:row>
    <x:row r="420">
      <x:c r="A420" s="68"/>
      <x:c r="B420" s="68"/>
      <x:c r="C420" s="68"/>
      <x:c r="D420" s="68"/>
      <x:c r="E420" s="68"/>
      <x:c r="F420" s="68"/>
      <x:c r="G420" s="68"/>
      <x:c r="H420" s="68"/>
      <x:c r="I420" s="68"/>
      <x:c r="J420" s="68"/>
      <x:c r="K420" s="68"/>
      <x:c r="L420" s="68"/>
      <x:c r="M420" s="68"/>
      <x:c r="N420" s="68"/>
      <x:c r="O420" s="68"/>
      <x:c r="P420" s="68"/>
      <x:c r="Q420" s="68"/>
      <x:c r="R420" s="68"/>
      <x:c r="S420" s="68"/>
      <x:c r="T420" s="68"/>
      <x:c r="U420" s="68"/>
      <x:c r="V420" s="68"/>
      <x:c r="W420" s="68"/>
      <x:c r="X420" s="68"/>
      <x:c r="Y420" s="68"/>
      <x:c r="Z420" s="68"/>
    </x:row>
    <x:row r="421">
      <x:c r="A421" s="68"/>
      <x:c r="B421" s="68"/>
      <x:c r="C421" s="68"/>
      <x:c r="D421" s="68"/>
      <x:c r="E421" s="68"/>
      <x:c r="F421" s="68"/>
      <x:c r="G421" s="68"/>
      <x:c r="H421" s="68"/>
      <x:c r="I421" s="68"/>
      <x:c r="J421" s="68"/>
      <x:c r="K421" s="68"/>
      <x:c r="L421" s="68"/>
      <x:c r="M421" s="68"/>
      <x:c r="N421" s="68"/>
      <x:c r="O421" s="68"/>
      <x:c r="P421" s="68"/>
      <x:c r="Q421" s="68"/>
      <x:c r="R421" s="68"/>
      <x:c r="S421" s="68"/>
      <x:c r="T421" s="68"/>
      <x:c r="U421" s="68"/>
      <x:c r="V421" s="68"/>
      <x:c r="W421" s="68"/>
      <x:c r="X421" s="68"/>
      <x:c r="Y421" s="68"/>
      <x:c r="Z421" s="68"/>
    </x:row>
    <x:row r="422">
      <x:c r="A422" s="68"/>
      <x:c r="B422" s="68"/>
      <x:c r="C422" s="68"/>
      <x:c r="D422" s="68"/>
      <x:c r="E422" s="68"/>
      <x:c r="F422" s="68"/>
      <x:c r="G422" s="68"/>
      <x:c r="H422" s="68"/>
      <x:c r="I422" s="68"/>
      <x:c r="J422" s="68"/>
      <x:c r="K422" s="68"/>
      <x:c r="L422" s="68"/>
      <x:c r="M422" s="68"/>
      <x:c r="N422" s="68"/>
      <x:c r="O422" s="68"/>
      <x:c r="P422" s="68"/>
      <x:c r="Q422" s="68"/>
      <x:c r="R422" s="68"/>
      <x:c r="S422" s="68"/>
      <x:c r="T422" s="68"/>
      <x:c r="U422" s="68"/>
      <x:c r="V422" s="68"/>
      <x:c r="W422" s="68"/>
      <x:c r="X422" s="68"/>
      <x:c r="Y422" s="68"/>
      <x:c r="Z422" s="68"/>
    </x:row>
    <x:row r="423">
      <x:c r="A423" s="68"/>
      <x:c r="B423" s="68"/>
      <x:c r="C423" s="68"/>
      <x:c r="D423" s="68"/>
      <x:c r="E423" s="68"/>
      <x:c r="F423" s="68"/>
      <x:c r="G423" s="68"/>
      <x:c r="H423" s="68"/>
      <x:c r="I423" s="68"/>
      <x:c r="J423" s="68"/>
      <x:c r="K423" s="68"/>
      <x:c r="L423" s="68"/>
      <x:c r="M423" s="68"/>
      <x:c r="N423" s="68"/>
      <x:c r="O423" s="68"/>
      <x:c r="P423" s="68"/>
      <x:c r="Q423" s="68"/>
      <x:c r="R423" s="68"/>
      <x:c r="S423" s="68"/>
      <x:c r="T423" s="68"/>
      <x:c r="U423" s="68"/>
      <x:c r="V423" s="68"/>
      <x:c r="W423" s="68"/>
      <x:c r="X423" s="68"/>
      <x:c r="Y423" s="68"/>
      <x:c r="Z423" s="68"/>
    </x:row>
    <x:row r="424">
      <x:c r="A424" s="68"/>
      <x:c r="B424" s="68"/>
      <x:c r="C424" s="68"/>
      <x:c r="D424" s="68"/>
      <x:c r="E424" s="68"/>
      <x:c r="F424" s="68"/>
      <x:c r="G424" s="68"/>
      <x:c r="H424" s="68"/>
      <x:c r="I424" s="68"/>
      <x:c r="J424" s="68"/>
      <x:c r="K424" s="68"/>
      <x:c r="L424" s="68"/>
      <x:c r="M424" s="68"/>
      <x:c r="N424" s="68"/>
      <x:c r="O424" s="68"/>
      <x:c r="P424" s="68"/>
      <x:c r="Q424" s="68"/>
      <x:c r="R424" s="68"/>
      <x:c r="S424" s="68"/>
      <x:c r="T424" s="68"/>
      <x:c r="U424" s="68"/>
      <x:c r="V424" s="68"/>
      <x:c r="W424" s="68"/>
      <x:c r="X424" s="68"/>
      <x:c r="Y424" s="68"/>
      <x:c r="Z424" s="68"/>
    </x:row>
    <x:row r="425">
      <x:c r="A425" s="68"/>
      <x:c r="B425" s="68"/>
      <x:c r="C425" s="68"/>
      <x:c r="D425" s="68"/>
      <x:c r="E425" s="68"/>
      <x:c r="F425" s="68"/>
      <x:c r="G425" s="68"/>
      <x:c r="H425" s="68"/>
      <x:c r="I425" s="68"/>
      <x:c r="J425" s="68"/>
      <x:c r="K425" s="68"/>
      <x:c r="L425" s="68"/>
      <x:c r="M425" s="68"/>
      <x:c r="N425" s="68"/>
      <x:c r="O425" s="68"/>
      <x:c r="P425" s="68"/>
      <x:c r="Q425" s="68"/>
      <x:c r="R425" s="68"/>
      <x:c r="S425" s="68"/>
      <x:c r="T425" s="68"/>
      <x:c r="U425" s="68"/>
      <x:c r="V425" s="68"/>
      <x:c r="W425" s="68"/>
      <x:c r="X425" s="68"/>
      <x:c r="Y425" s="68"/>
      <x:c r="Z425" s="68"/>
    </x:row>
    <x:row r="426">
      <x:c r="A426" s="68"/>
      <x:c r="B426" s="68"/>
      <x:c r="C426" s="68"/>
      <x:c r="D426" s="68"/>
      <x:c r="E426" s="68"/>
      <x:c r="F426" s="68"/>
      <x:c r="G426" s="68"/>
      <x:c r="H426" s="68"/>
      <x:c r="I426" s="68"/>
      <x:c r="J426" s="68"/>
      <x:c r="K426" s="68"/>
      <x:c r="L426" s="68"/>
      <x:c r="M426" s="68"/>
      <x:c r="N426" s="68"/>
      <x:c r="O426" s="68"/>
      <x:c r="P426" s="68"/>
      <x:c r="Q426" s="68"/>
      <x:c r="R426" s="68"/>
      <x:c r="S426" s="68"/>
      <x:c r="T426" s="68"/>
      <x:c r="U426" s="68"/>
      <x:c r="V426" s="68"/>
      <x:c r="W426" s="68"/>
      <x:c r="X426" s="68"/>
      <x:c r="Y426" s="68"/>
      <x:c r="Z426" s="68"/>
    </x:row>
    <x:row r="427">
      <x:c r="A427" s="68"/>
      <x:c r="B427" s="68"/>
      <x:c r="C427" s="68"/>
      <x:c r="D427" s="68"/>
      <x:c r="E427" s="68"/>
      <x:c r="F427" s="68"/>
      <x:c r="G427" s="68"/>
      <x:c r="H427" s="68"/>
      <x:c r="I427" s="68"/>
      <x:c r="J427" s="68"/>
      <x:c r="K427" s="68"/>
      <x:c r="L427" s="68"/>
      <x:c r="M427" s="68"/>
      <x:c r="N427" s="68"/>
      <x:c r="O427" s="68"/>
      <x:c r="P427" s="68"/>
      <x:c r="Q427" s="68"/>
      <x:c r="R427" s="68"/>
      <x:c r="S427" s="68"/>
      <x:c r="T427" s="68"/>
      <x:c r="U427" s="68"/>
      <x:c r="V427" s="68"/>
      <x:c r="W427" s="68"/>
      <x:c r="X427" s="68"/>
      <x:c r="Y427" s="68"/>
      <x:c r="Z427" s="68"/>
    </x:row>
    <x:row r="428">
      <x:c r="A428" s="68"/>
      <x:c r="B428" s="68"/>
      <x:c r="C428" s="68"/>
      <x:c r="D428" s="68"/>
      <x:c r="E428" s="68"/>
      <x:c r="F428" s="68"/>
      <x:c r="G428" s="68"/>
      <x:c r="H428" s="68"/>
      <x:c r="I428" s="68"/>
      <x:c r="J428" s="68"/>
      <x:c r="K428" s="68"/>
      <x:c r="L428" s="68"/>
      <x:c r="M428" s="68"/>
      <x:c r="N428" s="68"/>
      <x:c r="O428" s="68"/>
      <x:c r="P428" s="68"/>
      <x:c r="Q428" s="68"/>
      <x:c r="R428" s="68"/>
      <x:c r="S428" s="68"/>
      <x:c r="T428" s="68"/>
      <x:c r="U428" s="68"/>
      <x:c r="V428" s="68"/>
      <x:c r="W428" s="68"/>
      <x:c r="X428" s="68"/>
      <x:c r="Y428" s="68"/>
      <x:c r="Z428" s="68"/>
    </x:row>
    <x:row r="429">
      <x:c r="A429" s="68"/>
      <x:c r="B429" s="68"/>
      <x:c r="C429" s="68"/>
      <x:c r="D429" s="68"/>
      <x:c r="E429" s="68"/>
      <x:c r="F429" s="68"/>
      <x:c r="G429" s="68"/>
      <x:c r="H429" s="68"/>
      <x:c r="I429" s="68"/>
      <x:c r="J429" s="68"/>
      <x:c r="K429" s="68"/>
      <x:c r="L429" s="68"/>
      <x:c r="M429" s="68"/>
      <x:c r="N429" s="68"/>
      <x:c r="O429" s="68"/>
      <x:c r="P429" s="68"/>
      <x:c r="Q429" s="68"/>
      <x:c r="R429" s="68"/>
      <x:c r="S429" s="68"/>
      <x:c r="T429" s="68"/>
      <x:c r="U429" s="68"/>
      <x:c r="V429" s="68"/>
      <x:c r="W429" s="68"/>
      <x:c r="X429" s="68"/>
      <x:c r="Y429" s="68"/>
      <x:c r="Z429" s="68"/>
    </x:row>
    <x:row r="430">
      <x:c r="A430" s="68"/>
      <x:c r="B430" s="68"/>
      <x:c r="C430" s="68"/>
      <x:c r="D430" s="68"/>
      <x:c r="E430" s="68"/>
      <x:c r="F430" s="68"/>
      <x:c r="G430" s="68"/>
      <x:c r="H430" s="68"/>
      <x:c r="I430" s="68"/>
      <x:c r="J430" s="68"/>
      <x:c r="K430" s="68"/>
      <x:c r="L430" s="68"/>
      <x:c r="M430" s="68"/>
      <x:c r="N430" s="68"/>
      <x:c r="O430" s="68"/>
      <x:c r="P430" s="68"/>
      <x:c r="Q430" s="68"/>
      <x:c r="R430" s="68"/>
      <x:c r="S430" s="68"/>
      <x:c r="T430" s="68"/>
      <x:c r="U430" s="68"/>
      <x:c r="V430" s="68"/>
      <x:c r="W430" s="68"/>
      <x:c r="X430" s="68"/>
      <x:c r="Y430" s="68"/>
      <x:c r="Z430" s="68"/>
    </x:row>
    <x:row r="431">
      <x:c r="A431" s="68"/>
      <x:c r="B431" s="68"/>
      <x:c r="C431" s="68"/>
      <x:c r="D431" s="68"/>
      <x:c r="E431" s="68"/>
      <x:c r="F431" s="68"/>
      <x:c r="G431" s="68"/>
      <x:c r="H431" s="68"/>
      <x:c r="I431" s="68"/>
      <x:c r="J431" s="68"/>
      <x:c r="K431" s="68"/>
      <x:c r="L431" s="68"/>
      <x:c r="M431" s="68"/>
      <x:c r="N431" s="68"/>
      <x:c r="O431" s="68"/>
      <x:c r="P431" s="68"/>
      <x:c r="Q431" s="68"/>
      <x:c r="R431" s="68"/>
      <x:c r="S431" s="68"/>
      <x:c r="T431" s="68"/>
      <x:c r="U431" s="68"/>
      <x:c r="V431" s="68"/>
      <x:c r="W431" s="68"/>
      <x:c r="X431" s="68"/>
      <x:c r="Y431" s="68"/>
      <x:c r="Z431" s="68"/>
    </x:row>
    <x:row r="432">
      <x:c r="A432" s="68"/>
      <x:c r="B432" s="68"/>
      <x:c r="C432" s="68"/>
      <x:c r="D432" s="68"/>
      <x:c r="E432" s="68"/>
      <x:c r="F432" s="68"/>
      <x:c r="G432" s="68"/>
      <x:c r="H432" s="68"/>
      <x:c r="I432" s="68"/>
      <x:c r="J432" s="68"/>
      <x:c r="K432" s="68"/>
      <x:c r="L432" s="68"/>
      <x:c r="M432" s="68"/>
      <x:c r="N432" s="68"/>
      <x:c r="O432" s="68"/>
      <x:c r="P432" s="68"/>
      <x:c r="Q432" s="68"/>
      <x:c r="R432" s="68"/>
      <x:c r="S432" s="68"/>
      <x:c r="T432" s="68"/>
      <x:c r="U432" s="68"/>
      <x:c r="V432" s="68"/>
      <x:c r="W432" s="68"/>
      <x:c r="X432" s="68"/>
      <x:c r="Y432" s="68"/>
      <x:c r="Z432" s="68"/>
    </x:row>
    <x:row r="433">
      <x:c r="A433" s="68"/>
      <x:c r="B433" s="68"/>
      <x:c r="C433" s="68"/>
      <x:c r="D433" s="68"/>
      <x:c r="E433" s="68"/>
      <x:c r="F433" s="68"/>
      <x:c r="G433" s="68"/>
      <x:c r="H433" s="68"/>
      <x:c r="I433" s="68"/>
      <x:c r="J433" s="68"/>
      <x:c r="K433" s="68"/>
      <x:c r="L433" s="68"/>
      <x:c r="M433" s="68"/>
      <x:c r="N433" s="68"/>
      <x:c r="O433" s="68"/>
      <x:c r="P433" s="68"/>
      <x:c r="Q433" s="68"/>
      <x:c r="R433" s="68"/>
      <x:c r="S433" s="68"/>
      <x:c r="T433" s="68"/>
      <x:c r="U433" s="68"/>
      <x:c r="V433" s="68"/>
      <x:c r="W433" s="68"/>
      <x:c r="X433" s="68"/>
      <x:c r="Y433" s="68"/>
      <x:c r="Z433" s="68"/>
    </x:row>
    <x:row r="434">
      <x:c r="A434" s="68"/>
      <x:c r="B434" s="68"/>
      <x:c r="C434" s="68"/>
      <x:c r="D434" s="68"/>
      <x:c r="E434" s="68"/>
      <x:c r="F434" s="68"/>
      <x:c r="G434" s="68"/>
      <x:c r="H434" s="68"/>
      <x:c r="I434" s="68"/>
      <x:c r="J434" s="68"/>
      <x:c r="K434" s="68"/>
      <x:c r="L434" s="68"/>
      <x:c r="M434" s="68"/>
      <x:c r="N434" s="68"/>
      <x:c r="O434" s="68"/>
      <x:c r="P434" s="68"/>
      <x:c r="Q434" s="68"/>
      <x:c r="R434" s="68"/>
      <x:c r="S434" s="68"/>
      <x:c r="T434" s="68"/>
      <x:c r="U434" s="68"/>
      <x:c r="V434" s="68"/>
      <x:c r="W434" s="68"/>
      <x:c r="X434" s="68"/>
      <x:c r="Y434" s="68"/>
      <x:c r="Z434" s="68"/>
    </x:row>
    <x:row r="435">
      <x:c r="A435" s="68"/>
      <x:c r="B435" s="68"/>
      <x:c r="C435" s="68"/>
      <x:c r="D435" s="68"/>
      <x:c r="E435" s="68"/>
      <x:c r="F435" s="68"/>
      <x:c r="G435" s="68"/>
      <x:c r="H435" s="68"/>
      <x:c r="I435" s="68"/>
      <x:c r="J435" s="68"/>
      <x:c r="K435" s="68"/>
      <x:c r="L435" s="68"/>
      <x:c r="M435" s="68"/>
      <x:c r="N435" s="68"/>
      <x:c r="O435" s="68"/>
      <x:c r="P435" s="68"/>
      <x:c r="Q435" s="68"/>
      <x:c r="R435" s="68"/>
      <x:c r="S435" s="68"/>
      <x:c r="T435" s="68"/>
      <x:c r="U435" s="68"/>
      <x:c r="V435" s="68"/>
      <x:c r="W435" s="68"/>
      <x:c r="X435" s="68"/>
      <x:c r="Y435" s="68"/>
      <x:c r="Z435" s="68"/>
    </x:row>
    <x:row r="436">
      <x:c r="A436" s="68"/>
      <x:c r="B436" s="68"/>
      <x:c r="C436" s="68"/>
      <x:c r="D436" s="68"/>
      <x:c r="E436" s="68"/>
      <x:c r="F436" s="68"/>
      <x:c r="G436" s="68"/>
      <x:c r="H436" s="68"/>
      <x:c r="I436" s="68"/>
      <x:c r="J436" s="68"/>
      <x:c r="K436" s="68"/>
      <x:c r="L436" s="68"/>
      <x:c r="M436" s="68"/>
      <x:c r="N436" s="68"/>
      <x:c r="O436" s="68"/>
      <x:c r="P436" s="68"/>
      <x:c r="Q436" s="68"/>
      <x:c r="R436" s="68"/>
      <x:c r="S436" s="68"/>
      <x:c r="T436" s="68"/>
      <x:c r="U436" s="68"/>
      <x:c r="V436" s="68"/>
      <x:c r="W436" s="68"/>
      <x:c r="X436" s="68"/>
      <x:c r="Y436" s="68"/>
      <x:c r="Z436" s="68"/>
    </x:row>
    <x:row r="437">
      <x:c r="A437" s="68"/>
      <x:c r="B437" s="68"/>
      <x:c r="C437" s="68"/>
      <x:c r="D437" s="68"/>
      <x:c r="E437" s="68"/>
      <x:c r="F437" s="68"/>
      <x:c r="G437" s="68"/>
      <x:c r="H437" s="68"/>
      <x:c r="I437" s="68"/>
      <x:c r="J437" s="68"/>
      <x:c r="K437" s="68"/>
      <x:c r="L437" s="68"/>
      <x:c r="M437" s="68"/>
      <x:c r="N437" s="68"/>
      <x:c r="O437" s="68"/>
      <x:c r="P437" s="68"/>
      <x:c r="Q437" s="68"/>
      <x:c r="R437" s="68"/>
      <x:c r="S437" s="68"/>
      <x:c r="T437" s="68"/>
      <x:c r="U437" s="68"/>
      <x:c r="V437" s="68"/>
      <x:c r="W437" s="68"/>
      <x:c r="X437" s="68"/>
      <x:c r="Y437" s="68"/>
      <x:c r="Z437" s="68"/>
    </x:row>
    <x:row r="438">
      <x:c r="A438" s="68"/>
      <x:c r="B438" s="68"/>
      <x:c r="C438" s="68"/>
      <x:c r="D438" s="68"/>
      <x:c r="E438" s="68"/>
      <x:c r="F438" s="68"/>
      <x:c r="G438" s="68"/>
      <x:c r="H438" s="68"/>
      <x:c r="I438" s="68"/>
      <x:c r="J438" s="68"/>
      <x:c r="K438" s="68"/>
      <x:c r="L438" s="68"/>
      <x:c r="M438" s="68"/>
      <x:c r="N438" s="68"/>
      <x:c r="O438" s="68"/>
      <x:c r="P438" s="68"/>
      <x:c r="Q438" s="68"/>
      <x:c r="R438" s="68"/>
      <x:c r="S438" s="68"/>
      <x:c r="T438" s="68"/>
      <x:c r="U438" s="68"/>
      <x:c r="V438" s="68"/>
      <x:c r="W438" s="68"/>
      <x:c r="X438" s="68"/>
      <x:c r="Y438" s="68"/>
      <x:c r="Z438" s="68"/>
    </x:row>
    <x:row r="439">
      <x:c r="A439" s="68"/>
      <x:c r="B439" s="68"/>
      <x:c r="C439" s="68"/>
      <x:c r="D439" s="68"/>
      <x:c r="E439" s="68"/>
      <x:c r="F439" s="68"/>
      <x:c r="G439" s="68"/>
      <x:c r="H439" s="68"/>
      <x:c r="I439" s="68"/>
      <x:c r="J439" s="68"/>
      <x:c r="K439" s="68"/>
      <x:c r="L439" s="68"/>
      <x:c r="M439" s="68"/>
      <x:c r="N439" s="68"/>
      <x:c r="O439" s="68"/>
      <x:c r="P439" s="68"/>
      <x:c r="Q439" s="68"/>
      <x:c r="R439" s="68"/>
      <x:c r="S439" s="68"/>
      <x:c r="T439" s="68"/>
      <x:c r="U439" s="68"/>
      <x:c r="V439" s="68"/>
      <x:c r="W439" s="68"/>
      <x:c r="X439" s="68"/>
      <x:c r="Y439" s="68"/>
      <x:c r="Z439" s="68"/>
    </x:row>
    <x:row r="440">
      <x:c r="A440" s="68"/>
      <x:c r="B440" s="68"/>
      <x:c r="C440" s="68"/>
      <x:c r="D440" s="68"/>
      <x:c r="E440" s="68"/>
      <x:c r="F440" s="68"/>
      <x:c r="G440" s="68"/>
      <x:c r="H440" s="68"/>
      <x:c r="I440" s="68"/>
      <x:c r="J440" s="68"/>
      <x:c r="K440" s="68"/>
      <x:c r="L440" s="68"/>
      <x:c r="M440" s="68"/>
      <x:c r="N440" s="68"/>
      <x:c r="O440" s="68"/>
      <x:c r="P440" s="68"/>
      <x:c r="Q440" s="68"/>
      <x:c r="R440" s="68"/>
      <x:c r="S440" s="68"/>
      <x:c r="T440" s="68"/>
      <x:c r="U440" s="68"/>
      <x:c r="V440" s="68"/>
      <x:c r="W440" s="68"/>
      <x:c r="X440" s="68"/>
      <x:c r="Y440" s="68"/>
      <x:c r="Z440" s="68"/>
    </x:row>
    <x:row r="441">
      <x:c r="A441" s="68"/>
      <x:c r="B441" s="68"/>
      <x:c r="C441" s="68"/>
      <x:c r="D441" s="68"/>
      <x:c r="E441" s="68"/>
      <x:c r="F441" s="68"/>
      <x:c r="G441" s="68"/>
      <x:c r="H441" s="68"/>
      <x:c r="I441" s="68"/>
      <x:c r="J441" s="68"/>
      <x:c r="K441" s="68"/>
      <x:c r="L441" s="68"/>
      <x:c r="M441" s="68"/>
      <x:c r="N441" s="68"/>
      <x:c r="O441" s="68"/>
      <x:c r="P441" s="68"/>
      <x:c r="Q441" s="68"/>
      <x:c r="R441" s="68"/>
      <x:c r="S441" s="68"/>
      <x:c r="T441" s="68"/>
      <x:c r="U441" s="68"/>
      <x:c r="V441" s="68"/>
      <x:c r="W441" s="68"/>
      <x:c r="X441" s="68"/>
      <x:c r="Y441" s="68"/>
      <x:c r="Z441" s="68"/>
    </x:row>
    <x:row r="442">
      <x:c r="A442" s="68"/>
      <x:c r="B442" s="68"/>
      <x:c r="C442" s="68"/>
      <x:c r="D442" s="68"/>
      <x:c r="E442" s="68"/>
      <x:c r="F442" s="68"/>
      <x:c r="G442" s="68"/>
      <x:c r="H442" s="68"/>
      <x:c r="I442" s="68"/>
      <x:c r="J442" s="68"/>
      <x:c r="K442" s="68"/>
      <x:c r="L442" s="68"/>
      <x:c r="M442" s="68"/>
      <x:c r="N442" s="68"/>
      <x:c r="O442" s="68"/>
      <x:c r="P442" s="68"/>
      <x:c r="Q442" s="68"/>
      <x:c r="R442" s="68"/>
      <x:c r="S442" s="68"/>
      <x:c r="T442" s="68"/>
      <x:c r="U442" s="68"/>
      <x:c r="V442" s="68"/>
      <x:c r="W442" s="68"/>
      <x:c r="X442" s="68"/>
      <x:c r="Y442" s="68"/>
      <x:c r="Z442" s="68"/>
    </x:row>
    <x:row r="443">
      <x:c r="A443" s="68"/>
      <x:c r="B443" s="68"/>
      <x:c r="C443" s="68"/>
      <x:c r="D443" s="68"/>
      <x:c r="E443" s="68"/>
      <x:c r="F443" s="68"/>
      <x:c r="G443" s="68"/>
      <x:c r="H443" s="68"/>
      <x:c r="I443" s="68"/>
      <x:c r="J443" s="68"/>
      <x:c r="K443" s="68"/>
      <x:c r="L443" s="68"/>
      <x:c r="M443" s="68"/>
      <x:c r="N443" s="68"/>
      <x:c r="O443" s="68"/>
      <x:c r="P443" s="68"/>
      <x:c r="Q443" s="68"/>
      <x:c r="R443" s="68"/>
      <x:c r="S443" s="68"/>
      <x:c r="T443" s="68"/>
      <x:c r="U443" s="68"/>
      <x:c r="V443" s="68"/>
      <x:c r="W443" s="68"/>
      <x:c r="X443" s="68"/>
      <x:c r="Y443" s="68"/>
      <x:c r="Z443" s="68"/>
    </x:row>
    <x:row r="444">
      <x:c r="A444" s="68"/>
      <x:c r="B444" s="68"/>
      <x:c r="C444" s="68"/>
      <x:c r="D444" s="68"/>
      <x:c r="E444" s="68"/>
      <x:c r="F444" s="68"/>
      <x:c r="G444" s="68"/>
      <x:c r="H444" s="68"/>
      <x:c r="I444" s="68"/>
      <x:c r="J444" s="68"/>
      <x:c r="K444" s="68"/>
      <x:c r="L444" s="68"/>
      <x:c r="M444" s="68"/>
      <x:c r="N444" s="68"/>
      <x:c r="O444" s="68"/>
      <x:c r="P444" s="68"/>
      <x:c r="Q444" s="68"/>
      <x:c r="R444" s="68"/>
      <x:c r="S444" s="68"/>
      <x:c r="T444" s="68"/>
      <x:c r="U444" s="68"/>
      <x:c r="V444" s="68"/>
      <x:c r="W444" s="68"/>
      <x:c r="X444" s="68"/>
      <x:c r="Y444" s="68"/>
      <x:c r="Z444" s="68"/>
    </x:row>
    <x:row r="445">
      <x:c r="A445" s="68"/>
      <x:c r="B445" s="68"/>
      <x:c r="C445" s="68"/>
      <x:c r="D445" s="68"/>
      <x:c r="E445" s="68"/>
      <x:c r="F445" s="68"/>
      <x:c r="G445" s="68"/>
      <x:c r="H445" s="68"/>
      <x:c r="I445" s="68"/>
      <x:c r="J445" s="68"/>
      <x:c r="K445" s="68"/>
      <x:c r="L445" s="68"/>
      <x:c r="M445" s="68"/>
      <x:c r="N445" s="68"/>
      <x:c r="O445" s="68"/>
      <x:c r="P445" s="68"/>
      <x:c r="Q445" s="68"/>
      <x:c r="R445" s="68"/>
      <x:c r="S445" s="68"/>
      <x:c r="T445" s="68"/>
      <x:c r="U445" s="68"/>
      <x:c r="V445" s="68"/>
      <x:c r="W445" s="68"/>
      <x:c r="X445" s="68"/>
      <x:c r="Y445" s="68"/>
      <x:c r="Z445" s="68"/>
    </x:row>
    <x:row r="446">
      <x:c r="A446" s="68"/>
      <x:c r="B446" s="68"/>
      <x:c r="C446" s="68"/>
      <x:c r="D446" s="68"/>
      <x:c r="E446" s="68"/>
      <x:c r="F446" s="68"/>
      <x:c r="G446" s="68"/>
      <x:c r="H446" s="68"/>
      <x:c r="I446" s="68"/>
      <x:c r="J446" s="68"/>
      <x:c r="K446" s="68"/>
      <x:c r="L446" s="68"/>
      <x:c r="M446" s="68"/>
      <x:c r="N446" s="68"/>
      <x:c r="O446" s="68"/>
      <x:c r="P446" s="68"/>
      <x:c r="Q446" s="68"/>
      <x:c r="R446" s="68"/>
      <x:c r="S446" s="68"/>
      <x:c r="T446" s="68"/>
      <x:c r="U446" s="68"/>
      <x:c r="V446" s="68"/>
      <x:c r="W446" s="68"/>
      <x:c r="X446" s="68"/>
      <x:c r="Y446" s="68"/>
      <x:c r="Z446" s="68"/>
    </x:row>
    <x:row r="447">
      <x:c r="A447" s="68"/>
      <x:c r="B447" s="68"/>
      <x:c r="C447" s="68"/>
      <x:c r="D447" s="68"/>
      <x:c r="E447" s="68"/>
      <x:c r="F447" s="68"/>
      <x:c r="G447" s="68"/>
      <x:c r="H447" s="68"/>
      <x:c r="I447" s="68"/>
      <x:c r="J447" s="68"/>
      <x:c r="K447" s="68"/>
      <x:c r="L447" s="68"/>
      <x:c r="M447" s="68"/>
      <x:c r="N447" s="68"/>
      <x:c r="O447" s="68"/>
      <x:c r="P447" s="68"/>
      <x:c r="Q447" s="68"/>
      <x:c r="R447" s="68"/>
      <x:c r="S447" s="68"/>
      <x:c r="T447" s="68"/>
      <x:c r="U447" s="68"/>
      <x:c r="V447" s="68"/>
      <x:c r="W447" s="68"/>
      <x:c r="X447" s="68"/>
      <x:c r="Y447" s="68"/>
      <x:c r="Z447" s="68"/>
    </x:row>
    <x:row r="448">
      <x:c r="A448" s="68"/>
      <x:c r="B448" s="68"/>
      <x:c r="C448" s="68"/>
      <x:c r="D448" s="68"/>
      <x:c r="E448" s="68"/>
      <x:c r="F448" s="68"/>
      <x:c r="G448" s="68"/>
      <x:c r="H448" s="68"/>
      <x:c r="I448" s="68"/>
      <x:c r="J448" s="68"/>
      <x:c r="K448" s="68"/>
      <x:c r="L448" s="68"/>
      <x:c r="M448" s="68"/>
      <x:c r="N448" s="68"/>
      <x:c r="O448" s="68"/>
      <x:c r="P448" s="68"/>
      <x:c r="Q448" s="68"/>
      <x:c r="R448" s="68"/>
      <x:c r="S448" s="68"/>
      <x:c r="T448" s="68"/>
      <x:c r="U448" s="68"/>
      <x:c r="V448" s="68"/>
      <x:c r="W448" s="68"/>
      <x:c r="X448" s="68"/>
      <x:c r="Y448" s="68"/>
      <x:c r="Z448" s="68"/>
    </x:row>
    <x:row r="449">
      <x:c r="A449" s="68"/>
      <x:c r="B449" s="68"/>
      <x:c r="C449" s="68"/>
      <x:c r="D449" s="68"/>
      <x:c r="E449" s="68"/>
      <x:c r="F449" s="68"/>
      <x:c r="G449" s="68"/>
      <x:c r="H449" s="68"/>
      <x:c r="I449" s="68"/>
      <x:c r="J449" s="68"/>
      <x:c r="K449" s="68"/>
      <x:c r="L449" s="68"/>
      <x:c r="M449" s="68"/>
      <x:c r="N449" s="68"/>
      <x:c r="O449" s="68"/>
      <x:c r="P449" s="68"/>
      <x:c r="Q449" s="68"/>
      <x:c r="R449" s="68"/>
      <x:c r="S449" s="68"/>
      <x:c r="T449" s="68"/>
      <x:c r="U449" s="68"/>
      <x:c r="V449" s="68"/>
      <x:c r="W449" s="68"/>
      <x:c r="X449" s="68"/>
      <x:c r="Y449" s="68"/>
      <x:c r="Z449" s="68"/>
    </x:row>
    <x:row r="450">
      <x:c r="A450" s="68"/>
      <x:c r="B450" s="68"/>
      <x:c r="C450" s="68"/>
      <x:c r="D450" s="68"/>
      <x:c r="E450" s="68"/>
      <x:c r="F450" s="68"/>
      <x:c r="G450" s="68"/>
      <x:c r="H450" s="68"/>
      <x:c r="I450" s="68"/>
      <x:c r="J450" s="68"/>
      <x:c r="K450" s="68"/>
      <x:c r="L450" s="68"/>
      <x:c r="M450" s="68"/>
      <x:c r="N450" s="68"/>
      <x:c r="O450" s="68"/>
      <x:c r="P450" s="68"/>
      <x:c r="Q450" s="68"/>
      <x:c r="R450" s="68"/>
      <x:c r="S450" s="68"/>
      <x:c r="T450" s="68"/>
      <x:c r="U450" s="68"/>
      <x:c r="V450" s="68"/>
      <x:c r="W450" s="68"/>
      <x:c r="X450" s="68"/>
      <x:c r="Y450" s="68"/>
      <x:c r="Z450" s="68"/>
    </x:row>
    <x:row r="451">
      <x:c r="A451" s="68"/>
      <x:c r="B451" s="68"/>
      <x:c r="C451" s="68"/>
      <x:c r="D451" s="68"/>
      <x:c r="E451" s="68"/>
      <x:c r="F451" s="68"/>
      <x:c r="G451" s="68"/>
      <x:c r="H451" s="68"/>
      <x:c r="I451" s="68"/>
      <x:c r="J451" s="68"/>
      <x:c r="K451" s="68"/>
      <x:c r="L451" s="68"/>
      <x:c r="M451" s="68"/>
      <x:c r="N451" s="68"/>
      <x:c r="O451" s="68"/>
      <x:c r="P451" s="68"/>
      <x:c r="Q451" s="68"/>
      <x:c r="R451" s="68"/>
      <x:c r="S451" s="68"/>
      <x:c r="T451" s="68"/>
      <x:c r="U451" s="68"/>
      <x:c r="V451" s="68"/>
      <x:c r="W451" s="68"/>
      <x:c r="X451" s="68"/>
      <x:c r="Y451" s="68"/>
      <x:c r="Z451" s="68"/>
    </x:row>
    <x:row r="452">
      <x:c r="A452" s="68"/>
      <x:c r="B452" s="68"/>
      <x:c r="C452" s="68"/>
      <x:c r="D452" s="68"/>
      <x:c r="E452" s="68"/>
      <x:c r="F452" s="68"/>
      <x:c r="G452" s="68"/>
      <x:c r="H452" s="68"/>
      <x:c r="I452" s="68"/>
      <x:c r="J452" s="68"/>
      <x:c r="K452" s="68"/>
      <x:c r="L452" s="68"/>
      <x:c r="M452" s="68"/>
      <x:c r="N452" s="68"/>
      <x:c r="O452" s="68"/>
      <x:c r="P452" s="68"/>
      <x:c r="Q452" s="68"/>
      <x:c r="R452" s="68"/>
      <x:c r="S452" s="68"/>
      <x:c r="T452" s="68"/>
      <x:c r="U452" s="68"/>
      <x:c r="V452" s="68"/>
      <x:c r="W452" s="68"/>
      <x:c r="X452" s="68"/>
      <x:c r="Y452" s="68"/>
      <x:c r="Z452" s="68"/>
    </x:row>
    <x:row r="453">
      <x:c r="A453" s="68"/>
      <x:c r="B453" s="68"/>
      <x:c r="C453" s="68"/>
      <x:c r="D453" s="68"/>
      <x:c r="E453" s="68"/>
      <x:c r="F453" s="68"/>
      <x:c r="G453" s="68"/>
      <x:c r="H453" s="68"/>
      <x:c r="I453" s="68"/>
      <x:c r="J453" s="68"/>
      <x:c r="K453" s="68"/>
      <x:c r="L453" s="68"/>
      <x:c r="M453" s="68"/>
      <x:c r="N453" s="68"/>
      <x:c r="O453" s="68"/>
      <x:c r="P453" s="68"/>
      <x:c r="Q453" s="68"/>
      <x:c r="R453" s="68"/>
      <x:c r="S453" s="68"/>
      <x:c r="T453" s="68"/>
      <x:c r="U453" s="68"/>
      <x:c r="V453" s="68"/>
      <x:c r="W453" s="68"/>
      <x:c r="X453" s="68"/>
      <x:c r="Y453" s="68"/>
      <x:c r="Z453" s="68"/>
    </x:row>
    <x:row r="454">
      <x:c r="A454" s="68"/>
      <x:c r="B454" s="68"/>
      <x:c r="C454" s="68"/>
      <x:c r="D454" s="68"/>
      <x:c r="E454" s="68"/>
      <x:c r="F454" s="68"/>
      <x:c r="G454" s="68"/>
      <x:c r="H454" s="68"/>
      <x:c r="I454" s="68"/>
      <x:c r="J454" s="68"/>
      <x:c r="K454" s="68"/>
      <x:c r="L454" s="68"/>
      <x:c r="M454" s="68"/>
      <x:c r="N454" s="68"/>
      <x:c r="O454" s="68"/>
      <x:c r="P454" s="68"/>
      <x:c r="Q454" s="68"/>
      <x:c r="R454" s="68"/>
      <x:c r="S454" s="68"/>
      <x:c r="T454" s="68"/>
      <x:c r="U454" s="68"/>
      <x:c r="V454" s="68"/>
      <x:c r="W454" s="68"/>
      <x:c r="X454" s="68"/>
      <x:c r="Y454" s="68"/>
      <x:c r="Z454" s="68"/>
    </x:row>
    <x:row r="455">
      <x:c r="A455" s="68"/>
      <x:c r="B455" s="68"/>
      <x:c r="C455" s="68"/>
      <x:c r="D455" s="68"/>
      <x:c r="E455" s="68"/>
      <x:c r="F455" s="68"/>
      <x:c r="G455" s="68"/>
      <x:c r="H455" s="68"/>
      <x:c r="I455" s="68"/>
      <x:c r="J455" s="68"/>
      <x:c r="K455" s="68"/>
      <x:c r="L455" s="68"/>
      <x:c r="M455" s="68"/>
      <x:c r="N455" s="68"/>
      <x:c r="O455" s="68"/>
      <x:c r="P455" s="68"/>
      <x:c r="Q455" s="68"/>
      <x:c r="R455" s="68"/>
      <x:c r="S455" s="68"/>
      <x:c r="T455" s="68"/>
      <x:c r="U455" s="68"/>
      <x:c r="V455" s="68"/>
      <x:c r="W455" s="68"/>
      <x:c r="X455" s="68"/>
      <x:c r="Y455" s="68"/>
      <x:c r="Z455" s="68"/>
    </x:row>
    <x:row r="456">
      <x:c r="A456" s="68"/>
      <x:c r="B456" s="68"/>
      <x:c r="C456" s="68"/>
      <x:c r="D456" s="68"/>
      <x:c r="E456" s="68"/>
      <x:c r="F456" s="68"/>
      <x:c r="G456" s="68"/>
      <x:c r="H456" s="68"/>
      <x:c r="I456" s="68"/>
      <x:c r="J456" s="68"/>
      <x:c r="K456" s="68"/>
      <x:c r="L456" s="68"/>
      <x:c r="M456" s="68"/>
      <x:c r="N456" s="68"/>
      <x:c r="O456" s="68"/>
      <x:c r="P456" s="68"/>
      <x:c r="Q456" s="68"/>
      <x:c r="R456" s="68"/>
      <x:c r="S456" s="68"/>
      <x:c r="T456" s="68"/>
      <x:c r="U456" s="68"/>
      <x:c r="V456" s="68"/>
      <x:c r="W456" s="68"/>
      <x:c r="X456" s="68"/>
      <x:c r="Y456" s="68"/>
      <x:c r="Z456" s="68"/>
    </x:row>
    <x:row r="457">
      <x:c r="A457" s="68"/>
      <x:c r="B457" s="68"/>
      <x:c r="C457" s="68"/>
      <x:c r="D457" s="68"/>
      <x:c r="E457" s="68"/>
      <x:c r="F457" s="68"/>
      <x:c r="G457" s="68"/>
      <x:c r="H457" s="68"/>
      <x:c r="I457" s="68"/>
      <x:c r="J457" s="68"/>
      <x:c r="K457" s="68"/>
      <x:c r="L457" s="68"/>
      <x:c r="M457" s="68"/>
      <x:c r="N457" s="68"/>
      <x:c r="O457" s="68"/>
      <x:c r="P457" s="68"/>
      <x:c r="Q457" s="68"/>
      <x:c r="R457" s="68"/>
      <x:c r="S457" s="68"/>
      <x:c r="T457" s="68"/>
      <x:c r="U457" s="68"/>
      <x:c r="V457" s="68"/>
      <x:c r="W457" s="68"/>
      <x:c r="X457" s="68"/>
      <x:c r="Y457" s="68"/>
      <x:c r="Z457" s="68"/>
    </x:row>
    <x:row r="458">
      <x:c r="A458" s="68"/>
      <x:c r="B458" s="68"/>
      <x:c r="C458" s="68"/>
      <x:c r="D458" s="68"/>
      <x:c r="E458" s="68"/>
      <x:c r="F458" s="68"/>
      <x:c r="G458" s="68"/>
      <x:c r="H458" s="68"/>
      <x:c r="I458" s="68"/>
      <x:c r="J458" s="68"/>
      <x:c r="K458" s="68"/>
      <x:c r="L458" s="68"/>
      <x:c r="M458" s="68"/>
      <x:c r="N458" s="68"/>
      <x:c r="O458" s="68"/>
      <x:c r="P458" s="68"/>
      <x:c r="Q458" s="68"/>
      <x:c r="R458" s="68"/>
      <x:c r="S458" s="68"/>
      <x:c r="T458" s="68"/>
      <x:c r="U458" s="68"/>
      <x:c r="V458" s="68"/>
      <x:c r="W458" s="68"/>
      <x:c r="X458" s="68"/>
      <x:c r="Y458" s="68"/>
      <x:c r="Z458" s="68"/>
    </x:row>
    <x:row r="459">
      <x:c r="A459" s="68"/>
      <x:c r="B459" s="68"/>
      <x:c r="C459" s="68"/>
      <x:c r="D459" s="68"/>
      <x:c r="E459" s="68"/>
      <x:c r="F459" s="68"/>
      <x:c r="G459" s="68"/>
      <x:c r="H459" s="68"/>
      <x:c r="I459" s="68"/>
      <x:c r="J459" s="68"/>
      <x:c r="K459" s="68"/>
      <x:c r="L459" s="68"/>
      <x:c r="M459" s="68"/>
      <x:c r="N459" s="68"/>
      <x:c r="O459" s="68"/>
      <x:c r="P459" s="68"/>
      <x:c r="Q459" s="68"/>
      <x:c r="R459" s="68"/>
      <x:c r="S459" s="68"/>
      <x:c r="T459" s="68"/>
      <x:c r="U459" s="68"/>
      <x:c r="V459" s="68"/>
      <x:c r="W459" s="68"/>
      <x:c r="X459" s="68"/>
      <x:c r="Y459" s="68"/>
      <x:c r="Z459" s="68"/>
    </x:row>
    <x:row r="460">
      <x:c r="A460" s="68"/>
      <x:c r="B460" s="68"/>
      <x:c r="C460" s="68"/>
      <x:c r="D460" s="68"/>
      <x:c r="E460" s="68"/>
      <x:c r="F460" s="68"/>
      <x:c r="G460" s="68"/>
      <x:c r="H460" s="68"/>
      <x:c r="I460" s="68"/>
      <x:c r="J460" s="68"/>
      <x:c r="K460" s="68"/>
      <x:c r="L460" s="68"/>
      <x:c r="M460" s="68"/>
      <x:c r="N460" s="68"/>
      <x:c r="O460" s="68"/>
      <x:c r="P460" s="68"/>
      <x:c r="Q460" s="68"/>
      <x:c r="R460" s="68"/>
      <x:c r="S460" s="68"/>
      <x:c r="T460" s="68"/>
      <x:c r="U460" s="68"/>
      <x:c r="V460" s="68"/>
      <x:c r="W460" s="68"/>
      <x:c r="X460" s="68"/>
      <x:c r="Y460" s="68"/>
      <x:c r="Z460" s="68"/>
    </x:row>
    <x:row r="461">
      <x:c r="A461" s="68"/>
      <x:c r="B461" s="68"/>
      <x:c r="C461" s="68"/>
      <x:c r="D461" s="68"/>
      <x:c r="E461" s="68"/>
      <x:c r="F461" s="68"/>
      <x:c r="G461" s="68"/>
      <x:c r="H461" s="68"/>
      <x:c r="I461" s="68"/>
      <x:c r="J461" s="68"/>
      <x:c r="K461" s="68"/>
      <x:c r="L461" s="68"/>
      <x:c r="M461" s="68"/>
      <x:c r="N461" s="68"/>
      <x:c r="O461" s="68"/>
      <x:c r="P461" s="68"/>
      <x:c r="Q461" s="68"/>
      <x:c r="R461" s="68"/>
      <x:c r="S461" s="68"/>
      <x:c r="T461" s="68"/>
      <x:c r="U461" s="68"/>
      <x:c r="V461" s="68"/>
      <x:c r="W461" s="68"/>
      <x:c r="X461" s="68"/>
      <x:c r="Y461" s="68"/>
      <x:c r="Z461" s="68"/>
    </x:row>
    <x:row r="462">
      <x:c r="A462" s="68"/>
      <x:c r="B462" s="68"/>
      <x:c r="C462" s="68"/>
      <x:c r="D462" s="68"/>
      <x:c r="E462" s="68"/>
      <x:c r="F462" s="68"/>
      <x:c r="G462" s="68"/>
      <x:c r="H462" s="68"/>
      <x:c r="I462" s="68"/>
      <x:c r="J462" s="68"/>
      <x:c r="K462" s="68"/>
      <x:c r="L462" s="68"/>
      <x:c r="M462" s="68"/>
      <x:c r="N462" s="68"/>
      <x:c r="O462" s="68"/>
      <x:c r="P462" s="68"/>
      <x:c r="Q462" s="68"/>
      <x:c r="R462" s="68"/>
      <x:c r="S462" s="68"/>
      <x:c r="T462" s="68"/>
      <x:c r="U462" s="68"/>
      <x:c r="V462" s="68"/>
      <x:c r="W462" s="68"/>
      <x:c r="X462" s="68"/>
      <x:c r="Y462" s="68"/>
      <x:c r="Z462" s="68"/>
    </x:row>
    <x:row r="463">
      <x:c r="A463" s="68"/>
      <x:c r="B463" s="68"/>
      <x:c r="C463" s="68"/>
      <x:c r="D463" s="68"/>
      <x:c r="E463" s="68"/>
      <x:c r="F463" s="68"/>
      <x:c r="G463" s="68"/>
      <x:c r="H463" s="68"/>
      <x:c r="I463" s="68"/>
      <x:c r="J463" s="68"/>
      <x:c r="K463" s="68"/>
      <x:c r="L463" s="68"/>
      <x:c r="M463" s="68"/>
      <x:c r="N463" s="68"/>
      <x:c r="O463" s="68"/>
      <x:c r="P463" s="68"/>
      <x:c r="Q463" s="68"/>
      <x:c r="R463" s="68"/>
      <x:c r="S463" s="68"/>
      <x:c r="T463" s="68"/>
      <x:c r="U463" s="68"/>
      <x:c r="V463" s="68"/>
      <x:c r="W463" s="68"/>
      <x:c r="X463" s="68"/>
      <x:c r="Y463" s="68"/>
      <x:c r="Z463" s="68"/>
    </x:row>
    <x:row r="464">
      <x:c r="A464" s="68"/>
      <x:c r="B464" s="68"/>
      <x:c r="C464" s="68"/>
      <x:c r="D464" s="68"/>
      <x:c r="E464" s="68"/>
      <x:c r="F464" s="68"/>
      <x:c r="G464" s="68"/>
      <x:c r="H464" s="68"/>
      <x:c r="I464" s="68"/>
      <x:c r="J464" s="68"/>
      <x:c r="K464" s="68"/>
      <x:c r="L464" s="68"/>
      <x:c r="M464" s="68"/>
      <x:c r="N464" s="68"/>
      <x:c r="O464" s="68"/>
      <x:c r="P464" s="68"/>
      <x:c r="Q464" s="68"/>
      <x:c r="R464" s="68"/>
      <x:c r="S464" s="68"/>
      <x:c r="T464" s="68"/>
      <x:c r="U464" s="68"/>
      <x:c r="V464" s="68"/>
      <x:c r="W464" s="68"/>
      <x:c r="X464" s="68"/>
      <x:c r="Y464" s="68"/>
      <x:c r="Z464" s="68"/>
    </x:row>
    <x:row r="465">
      <x:c r="A465" s="68"/>
      <x:c r="B465" s="68"/>
      <x:c r="C465" s="68"/>
      <x:c r="D465" s="68"/>
      <x:c r="E465" s="68"/>
      <x:c r="F465" s="68"/>
      <x:c r="G465" s="68"/>
      <x:c r="H465" s="68"/>
      <x:c r="I465" s="68"/>
      <x:c r="J465" s="68"/>
      <x:c r="K465" s="68"/>
      <x:c r="L465" s="68"/>
      <x:c r="M465" s="68"/>
      <x:c r="N465" s="68"/>
      <x:c r="O465" s="68"/>
      <x:c r="P465" s="68"/>
      <x:c r="Q465" s="68"/>
      <x:c r="R465" s="68"/>
      <x:c r="S465" s="68"/>
      <x:c r="T465" s="68"/>
      <x:c r="U465" s="68"/>
      <x:c r="V465" s="68"/>
      <x:c r="W465" s="68"/>
      <x:c r="X465" s="68"/>
      <x:c r="Y465" s="68"/>
      <x:c r="Z465" s="68"/>
    </x:row>
    <x:row r="466">
      <x:c r="A466" s="68"/>
      <x:c r="B466" s="68"/>
      <x:c r="C466" s="68"/>
      <x:c r="D466" s="68"/>
      <x:c r="E466" s="68"/>
      <x:c r="F466" s="68"/>
      <x:c r="G466" s="68"/>
      <x:c r="H466" s="68"/>
      <x:c r="I466" s="68"/>
      <x:c r="J466" s="68"/>
      <x:c r="K466" s="68"/>
      <x:c r="L466" s="68"/>
      <x:c r="M466" s="68"/>
      <x:c r="N466" s="68"/>
      <x:c r="O466" s="68"/>
      <x:c r="P466" s="68"/>
      <x:c r="Q466" s="68"/>
      <x:c r="R466" s="68"/>
      <x:c r="S466" s="68"/>
      <x:c r="T466" s="68"/>
      <x:c r="U466" s="68"/>
      <x:c r="V466" s="68"/>
      <x:c r="W466" s="68"/>
      <x:c r="X466" s="68"/>
      <x:c r="Y466" s="68"/>
      <x:c r="Z466" s="68"/>
    </x:row>
    <x:row r="467">
      <x:c r="A467" s="68"/>
      <x:c r="B467" s="68"/>
      <x:c r="C467" s="68"/>
      <x:c r="D467" s="68"/>
      <x:c r="E467" s="68"/>
      <x:c r="F467" s="68"/>
      <x:c r="G467" s="68"/>
      <x:c r="H467" s="68"/>
      <x:c r="I467" s="68"/>
      <x:c r="J467" s="68"/>
      <x:c r="K467" s="68"/>
      <x:c r="L467" s="68"/>
      <x:c r="M467" s="68"/>
      <x:c r="N467" s="68"/>
      <x:c r="O467" s="68"/>
      <x:c r="P467" s="68"/>
      <x:c r="Q467" s="68"/>
      <x:c r="R467" s="68"/>
      <x:c r="S467" s="68"/>
      <x:c r="T467" s="68"/>
      <x:c r="U467" s="68"/>
      <x:c r="V467" s="68"/>
      <x:c r="W467" s="68"/>
      <x:c r="X467" s="68"/>
      <x:c r="Y467" s="68"/>
      <x:c r="Z467" s="68"/>
    </x:row>
    <x:row r="468">
      <x:c r="A468" s="68"/>
      <x:c r="B468" s="68"/>
      <x:c r="C468" s="68"/>
      <x:c r="D468" s="68"/>
      <x:c r="E468" s="68"/>
      <x:c r="F468" s="68"/>
      <x:c r="G468" s="68"/>
      <x:c r="H468" s="68"/>
      <x:c r="I468" s="68"/>
      <x:c r="J468" s="68"/>
      <x:c r="K468" s="68"/>
      <x:c r="L468" s="68"/>
      <x:c r="M468" s="68"/>
      <x:c r="N468" s="68"/>
      <x:c r="O468" s="68"/>
      <x:c r="P468" s="68"/>
      <x:c r="Q468" s="68"/>
      <x:c r="R468" s="68"/>
      <x:c r="S468" s="68"/>
      <x:c r="T468" s="68"/>
      <x:c r="U468" s="68"/>
      <x:c r="V468" s="68"/>
      <x:c r="W468" s="68"/>
      <x:c r="X468" s="68"/>
      <x:c r="Y468" s="68"/>
      <x:c r="Z468" s="68"/>
    </x:row>
    <x:row r="469">
      <x:c r="A469" s="68"/>
      <x:c r="B469" s="68"/>
      <x:c r="C469" s="68"/>
      <x:c r="D469" s="68"/>
      <x:c r="E469" s="68"/>
      <x:c r="F469" s="68"/>
      <x:c r="G469" s="68"/>
      <x:c r="H469" s="68"/>
      <x:c r="I469" s="68"/>
      <x:c r="J469" s="68"/>
      <x:c r="K469" s="68"/>
      <x:c r="L469" s="68"/>
      <x:c r="M469" s="68"/>
      <x:c r="N469" s="68"/>
      <x:c r="O469" s="68"/>
      <x:c r="P469" s="68"/>
      <x:c r="Q469" s="68"/>
      <x:c r="R469" s="68"/>
      <x:c r="S469" s="68"/>
      <x:c r="T469" s="68"/>
      <x:c r="U469" s="68"/>
      <x:c r="V469" s="68"/>
      <x:c r="W469" s="68"/>
      <x:c r="X469" s="68"/>
      <x:c r="Y469" s="68"/>
      <x:c r="Z469" s="68"/>
    </x:row>
    <x:row r="470">
      <x:c r="A470" s="68"/>
      <x:c r="B470" s="68"/>
      <x:c r="C470" s="68"/>
      <x:c r="D470" s="68"/>
      <x:c r="E470" s="68"/>
      <x:c r="F470" s="68"/>
      <x:c r="G470" s="68"/>
      <x:c r="H470" s="68"/>
      <x:c r="I470" s="68"/>
      <x:c r="J470" s="68"/>
      <x:c r="K470" s="68"/>
      <x:c r="L470" s="68"/>
      <x:c r="M470" s="68"/>
      <x:c r="N470" s="68"/>
      <x:c r="O470" s="68"/>
      <x:c r="P470" s="68"/>
      <x:c r="Q470" s="68"/>
      <x:c r="R470" s="68"/>
      <x:c r="S470" s="68"/>
      <x:c r="T470" s="68"/>
      <x:c r="U470" s="68"/>
      <x:c r="V470" s="68"/>
      <x:c r="W470" s="68"/>
      <x:c r="X470" s="68"/>
      <x:c r="Y470" s="68"/>
      <x:c r="Z470" s="68"/>
    </x:row>
    <x:row r="471">
      <x:c r="A471" s="68"/>
      <x:c r="B471" s="68"/>
      <x:c r="C471" s="68"/>
      <x:c r="D471" s="68"/>
      <x:c r="E471" s="68"/>
      <x:c r="F471" s="68"/>
      <x:c r="G471" s="68"/>
      <x:c r="H471" s="68"/>
      <x:c r="I471" s="68"/>
      <x:c r="J471" s="68"/>
      <x:c r="K471" s="68"/>
      <x:c r="L471" s="68"/>
      <x:c r="M471" s="68"/>
      <x:c r="N471" s="68"/>
      <x:c r="O471" s="68"/>
      <x:c r="P471" s="68"/>
      <x:c r="Q471" s="68"/>
      <x:c r="R471" s="68"/>
      <x:c r="S471" s="68"/>
      <x:c r="T471" s="68"/>
      <x:c r="U471" s="68"/>
      <x:c r="V471" s="68"/>
      <x:c r="W471" s="68"/>
      <x:c r="X471" s="68"/>
      <x:c r="Y471" s="68"/>
      <x:c r="Z471" s="68"/>
    </x:row>
    <x:row r="472">
      <x:c r="A472" s="68"/>
      <x:c r="B472" s="68"/>
      <x:c r="C472" s="68"/>
      <x:c r="D472" s="68"/>
      <x:c r="E472" s="68"/>
      <x:c r="F472" s="68"/>
      <x:c r="G472" s="68"/>
      <x:c r="H472" s="68"/>
      <x:c r="I472" s="68"/>
      <x:c r="J472" s="68"/>
      <x:c r="K472" s="68"/>
      <x:c r="L472" s="68"/>
      <x:c r="M472" s="68"/>
      <x:c r="N472" s="68"/>
      <x:c r="O472" s="68"/>
      <x:c r="P472" s="68"/>
      <x:c r="Q472" s="68"/>
      <x:c r="R472" s="68"/>
      <x:c r="S472" s="68"/>
      <x:c r="T472" s="68"/>
      <x:c r="U472" s="68"/>
      <x:c r="V472" s="68"/>
      <x:c r="W472" s="68"/>
      <x:c r="X472" s="68"/>
      <x:c r="Y472" s="68"/>
      <x:c r="Z472" s="68"/>
    </x:row>
    <x:row r="473">
      <x:c r="A473" s="68"/>
      <x:c r="B473" s="68"/>
      <x:c r="C473" s="68"/>
      <x:c r="D473" s="68"/>
      <x:c r="E473" s="68"/>
      <x:c r="F473" s="68"/>
      <x:c r="G473" s="68"/>
      <x:c r="H473" s="68"/>
      <x:c r="I473" s="68"/>
      <x:c r="J473" s="68"/>
      <x:c r="K473" s="68"/>
      <x:c r="L473" s="68"/>
      <x:c r="M473" s="68"/>
      <x:c r="N473" s="68"/>
      <x:c r="O473" s="68"/>
      <x:c r="P473" s="68"/>
      <x:c r="Q473" s="68"/>
      <x:c r="R473" s="68"/>
      <x:c r="S473" s="68"/>
      <x:c r="T473" s="68"/>
      <x:c r="U473" s="68"/>
      <x:c r="V473" s="68"/>
      <x:c r="W473" s="68"/>
      <x:c r="X473" s="68"/>
      <x:c r="Y473" s="68"/>
      <x:c r="Z473" s="68"/>
    </x:row>
    <x:row r="474">
      <x:c r="A474" s="68"/>
      <x:c r="B474" s="68"/>
      <x:c r="C474" s="68"/>
      <x:c r="D474" s="68"/>
      <x:c r="E474" s="68"/>
      <x:c r="F474" s="68"/>
      <x:c r="G474" s="68"/>
      <x:c r="H474" s="68"/>
      <x:c r="I474" s="68"/>
      <x:c r="J474" s="68"/>
      <x:c r="K474" s="68"/>
      <x:c r="L474" s="68"/>
      <x:c r="M474" s="68"/>
      <x:c r="N474" s="68"/>
      <x:c r="O474" s="68"/>
      <x:c r="P474" s="68"/>
      <x:c r="Q474" s="68"/>
      <x:c r="R474" s="68"/>
      <x:c r="S474" s="68"/>
      <x:c r="T474" s="68"/>
      <x:c r="U474" s="68"/>
      <x:c r="V474" s="68"/>
      <x:c r="W474" s="68"/>
      <x:c r="X474" s="68"/>
      <x:c r="Y474" s="68"/>
      <x:c r="Z474" s="68"/>
    </x:row>
    <x:row r="475">
      <x:c r="A475" s="68"/>
      <x:c r="B475" s="68"/>
      <x:c r="C475" s="68"/>
      <x:c r="D475" s="68"/>
      <x:c r="E475" s="68"/>
      <x:c r="F475" s="68"/>
      <x:c r="G475" s="68"/>
      <x:c r="H475" s="68"/>
      <x:c r="I475" s="68"/>
      <x:c r="J475" s="68"/>
      <x:c r="K475" s="68"/>
      <x:c r="L475" s="68"/>
      <x:c r="M475" s="68"/>
      <x:c r="N475" s="68"/>
      <x:c r="O475" s="68"/>
      <x:c r="P475" s="68"/>
      <x:c r="Q475" s="68"/>
      <x:c r="R475" s="68"/>
      <x:c r="S475" s="68"/>
      <x:c r="T475" s="68"/>
      <x:c r="U475" s="68"/>
      <x:c r="V475" s="68"/>
      <x:c r="W475" s="68"/>
      <x:c r="X475" s="68"/>
      <x:c r="Y475" s="68"/>
      <x:c r="Z475" s="68"/>
    </x:row>
    <x:row r="476">
      <x:c r="A476" s="68"/>
      <x:c r="B476" s="68"/>
      <x:c r="C476" s="68"/>
      <x:c r="D476" s="68"/>
      <x:c r="E476" s="68"/>
      <x:c r="F476" s="68"/>
      <x:c r="G476" s="68"/>
      <x:c r="H476" s="68"/>
      <x:c r="I476" s="68"/>
      <x:c r="J476" s="68"/>
      <x:c r="K476" s="68"/>
      <x:c r="L476" s="68"/>
      <x:c r="M476" s="68"/>
      <x:c r="N476" s="68"/>
      <x:c r="O476" s="68"/>
      <x:c r="P476" s="68"/>
      <x:c r="Q476" s="68"/>
      <x:c r="R476" s="68"/>
      <x:c r="S476" s="68"/>
      <x:c r="T476" s="68"/>
      <x:c r="U476" s="68"/>
      <x:c r="V476" s="68"/>
      <x:c r="W476" s="68"/>
      <x:c r="X476" s="68"/>
      <x:c r="Y476" s="68"/>
      <x:c r="Z476" s="68"/>
    </x:row>
    <x:row r="477">
      <x:c r="A477" s="68"/>
      <x:c r="B477" s="68"/>
      <x:c r="C477" s="68"/>
      <x:c r="D477" s="68"/>
      <x:c r="E477" s="68"/>
      <x:c r="F477" s="68"/>
      <x:c r="G477" s="68"/>
      <x:c r="H477" s="68"/>
      <x:c r="I477" s="68"/>
      <x:c r="J477" s="68"/>
      <x:c r="K477" s="68"/>
      <x:c r="L477" s="68"/>
      <x:c r="M477" s="68"/>
      <x:c r="N477" s="68"/>
      <x:c r="O477" s="68"/>
      <x:c r="P477" s="68"/>
      <x:c r="Q477" s="68"/>
      <x:c r="R477" s="68"/>
      <x:c r="S477" s="68"/>
      <x:c r="T477" s="68"/>
      <x:c r="U477" s="68"/>
      <x:c r="V477" s="68"/>
      <x:c r="W477" s="68"/>
      <x:c r="X477" s="68"/>
      <x:c r="Y477" s="68"/>
      <x:c r="Z477" s="68"/>
    </x:row>
    <x:row r="478">
      <x:c r="A478" s="68"/>
      <x:c r="B478" s="68"/>
      <x:c r="C478" s="68"/>
      <x:c r="D478" s="68"/>
      <x:c r="E478" s="68"/>
      <x:c r="F478" s="68"/>
      <x:c r="G478" s="68"/>
      <x:c r="H478" s="68"/>
      <x:c r="I478" s="68"/>
      <x:c r="J478" s="68"/>
      <x:c r="K478" s="68"/>
      <x:c r="L478" s="68"/>
      <x:c r="M478" s="68"/>
      <x:c r="N478" s="68"/>
      <x:c r="O478" s="68"/>
      <x:c r="P478" s="68"/>
      <x:c r="Q478" s="68"/>
      <x:c r="R478" s="68"/>
      <x:c r="S478" s="68"/>
      <x:c r="T478" s="68"/>
      <x:c r="U478" s="68"/>
      <x:c r="V478" s="68"/>
      <x:c r="W478" s="68"/>
      <x:c r="X478" s="68"/>
      <x:c r="Y478" s="68"/>
      <x:c r="Z478" s="68"/>
    </x:row>
    <x:row r="479">
      <x:c r="A479" s="68"/>
      <x:c r="B479" s="68"/>
      <x:c r="C479" s="68"/>
      <x:c r="D479" s="68"/>
      <x:c r="E479" s="68"/>
      <x:c r="F479" s="68"/>
      <x:c r="G479" s="68"/>
      <x:c r="H479" s="68"/>
      <x:c r="I479" s="68"/>
      <x:c r="J479" s="68"/>
      <x:c r="K479" s="68"/>
      <x:c r="L479" s="68"/>
      <x:c r="M479" s="68"/>
      <x:c r="N479" s="68"/>
      <x:c r="O479" s="68"/>
      <x:c r="P479" s="68"/>
      <x:c r="Q479" s="68"/>
      <x:c r="R479" s="68"/>
      <x:c r="S479" s="68"/>
      <x:c r="T479" s="68"/>
      <x:c r="U479" s="68"/>
      <x:c r="V479" s="68"/>
      <x:c r="W479" s="68"/>
      <x:c r="X479" s="68"/>
      <x:c r="Y479" s="68"/>
      <x:c r="Z479" s="68"/>
    </x:row>
    <x:row r="480">
      <x:c r="A480" s="68"/>
      <x:c r="B480" s="68"/>
      <x:c r="C480" s="68"/>
      <x:c r="D480" s="68"/>
      <x:c r="E480" s="68"/>
      <x:c r="F480" s="68"/>
      <x:c r="G480" s="68"/>
      <x:c r="H480" s="68"/>
      <x:c r="I480" s="68"/>
      <x:c r="J480" s="68"/>
      <x:c r="K480" s="68"/>
      <x:c r="L480" s="68"/>
      <x:c r="M480" s="68"/>
      <x:c r="N480" s="68"/>
      <x:c r="O480" s="68"/>
      <x:c r="P480" s="68"/>
      <x:c r="Q480" s="68"/>
      <x:c r="R480" s="68"/>
      <x:c r="S480" s="68"/>
      <x:c r="T480" s="68"/>
      <x:c r="U480" s="68"/>
      <x:c r="V480" s="68"/>
      <x:c r="W480" s="68"/>
      <x:c r="X480" s="68"/>
      <x:c r="Y480" s="68"/>
      <x:c r="Z480" s="68"/>
    </x:row>
    <x:row r="481">
      <x:c r="A481" s="68"/>
      <x:c r="B481" s="68"/>
      <x:c r="C481" s="68"/>
      <x:c r="D481" s="68"/>
      <x:c r="E481" s="68"/>
      <x:c r="F481" s="68"/>
      <x:c r="G481" s="68"/>
      <x:c r="H481" s="68"/>
      <x:c r="I481" s="68"/>
      <x:c r="J481" s="68"/>
      <x:c r="K481" s="68"/>
      <x:c r="L481" s="68"/>
      <x:c r="M481" s="68"/>
      <x:c r="N481" s="68"/>
      <x:c r="O481" s="68"/>
      <x:c r="P481" s="68"/>
      <x:c r="Q481" s="68"/>
      <x:c r="R481" s="68"/>
      <x:c r="S481" s="68"/>
      <x:c r="T481" s="68"/>
      <x:c r="U481" s="68"/>
      <x:c r="V481" s="68"/>
      <x:c r="W481" s="68"/>
      <x:c r="X481" s="68"/>
      <x:c r="Y481" s="68"/>
      <x:c r="Z481" s="68"/>
    </x:row>
    <x:row r="482">
      <x:c r="A482" s="68"/>
      <x:c r="B482" s="68"/>
      <x:c r="C482" s="68"/>
      <x:c r="D482" s="68"/>
      <x:c r="E482" s="68"/>
      <x:c r="F482" s="68"/>
      <x:c r="G482" s="68"/>
      <x:c r="H482" s="68"/>
      <x:c r="I482" s="68"/>
      <x:c r="J482" s="68"/>
      <x:c r="K482" s="68"/>
      <x:c r="L482" s="68"/>
      <x:c r="M482" s="68"/>
      <x:c r="N482" s="68"/>
      <x:c r="O482" s="68"/>
      <x:c r="P482" s="68"/>
      <x:c r="Q482" s="68"/>
      <x:c r="R482" s="68"/>
      <x:c r="S482" s="68"/>
      <x:c r="T482" s="68"/>
      <x:c r="U482" s="68"/>
      <x:c r="V482" s="68"/>
      <x:c r="W482" s="68"/>
      <x:c r="X482" s="68"/>
      <x:c r="Y482" s="68"/>
      <x:c r="Z482" s="68"/>
    </x:row>
    <x:row r="483">
      <x:c r="A483" s="68"/>
      <x:c r="B483" s="68"/>
      <x:c r="C483" s="68"/>
      <x:c r="D483" s="68"/>
      <x:c r="E483" s="68"/>
      <x:c r="F483" s="68"/>
      <x:c r="G483" s="68"/>
      <x:c r="H483" s="68"/>
      <x:c r="I483" s="68"/>
      <x:c r="J483" s="68"/>
      <x:c r="K483" s="68"/>
      <x:c r="L483" s="68"/>
      <x:c r="M483" s="68"/>
      <x:c r="N483" s="68"/>
      <x:c r="O483" s="68"/>
      <x:c r="P483" s="68"/>
      <x:c r="Q483" s="68"/>
      <x:c r="R483" s="68"/>
      <x:c r="S483" s="68"/>
      <x:c r="T483" s="68"/>
      <x:c r="U483" s="68"/>
      <x:c r="V483" s="68"/>
      <x:c r="W483" s="68"/>
      <x:c r="X483" s="68"/>
      <x:c r="Y483" s="68"/>
      <x:c r="Z483" s="68"/>
    </x:row>
    <x:row r="484">
      <x:c r="A484" s="68"/>
      <x:c r="B484" s="68"/>
      <x:c r="C484" s="68"/>
      <x:c r="D484" s="68"/>
      <x:c r="E484" s="68"/>
      <x:c r="F484" s="68"/>
      <x:c r="G484" s="68"/>
      <x:c r="H484" s="68"/>
      <x:c r="I484" s="68"/>
      <x:c r="J484" s="68"/>
      <x:c r="K484" s="68"/>
      <x:c r="L484" s="68"/>
      <x:c r="M484" s="68"/>
      <x:c r="N484" s="68"/>
      <x:c r="O484" s="68"/>
      <x:c r="P484" s="68"/>
      <x:c r="Q484" s="68"/>
      <x:c r="R484" s="68"/>
      <x:c r="S484" s="68"/>
      <x:c r="T484" s="68"/>
      <x:c r="U484" s="68"/>
      <x:c r="V484" s="68"/>
      <x:c r="W484" s="68"/>
      <x:c r="X484" s="68"/>
      <x:c r="Y484" s="68"/>
      <x:c r="Z484" s="68"/>
    </x:row>
    <x:row r="485">
      <x:c r="A485" s="68"/>
      <x:c r="B485" s="68"/>
      <x:c r="C485" s="68"/>
      <x:c r="D485" s="68"/>
      <x:c r="E485" s="68"/>
      <x:c r="F485" s="68"/>
      <x:c r="G485" s="68"/>
      <x:c r="H485" s="68"/>
      <x:c r="I485" s="68"/>
      <x:c r="J485" s="68"/>
      <x:c r="K485" s="68"/>
      <x:c r="L485" s="68"/>
      <x:c r="M485" s="68"/>
      <x:c r="N485" s="68"/>
      <x:c r="O485" s="68"/>
      <x:c r="P485" s="68"/>
      <x:c r="Q485" s="68"/>
      <x:c r="R485" s="68"/>
      <x:c r="S485" s="68"/>
      <x:c r="T485" s="68"/>
      <x:c r="U485" s="68"/>
      <x:c r="V485" s="68"/>
      <x:c r="W485" s="68"/>
      <x:c r="X485" s="68"/>
      <x:c r="Y485" s="68"/>
      <x:c r="Z485" s="68"/>
    </x:row>
    <x:row r="486">
      <x:c r="A486" s="68"/>
      <x:c r="B486" s="68"/>
      <x:c r="C486" s="68"/>
      <x:c r="D486" s="68"/>
      <x:c r="E486" s="68"/>
      <x:c r="F486" s="68"/>
      <x:c r="G486" s="68"/>
      <x:c r="H486" s="68"/>
      <x:c r="I486" s="68"/>
      <x:c r="J486" s="68"/>
      <x:c r="K486" s="68"/>
      <x:c r="L486" s="68"/>
      <x:c r="M486" s="68"/>
      <x:c r="N486" s="68"/>
      <x:c r="O486" s="68"/>
      <x:c r="P486" s="68"/>
      <x:c r="Q486" s="68"/>
      <x:c r="R486" s="68"/>
      <x:c r="S486" s="68"/>
      <x:c r="T486" s="68"/>
      <x:c r="U486" s="68"/>
      <x:c r="V486" s="68"/>
      <x:c r="W486" s="68"/>
      <x:c r="X486" s="68"/>
      <x:c r="Y486" s="68"/>
      <x:c r="Z486" s="68"/>
    </x:row>
    <x:row r="487">
      <x:c r="A487" s="68"/>
      <x:c r="B487" s="68"/>
      <x:c r="C487" s="68"/>
      <x:c r="D487" s="68"/>
      <x:c r="E487" s="68"/>
      <x:c r="F487" s="68"/>
      <x:c r="G487" s="68"/>
      <x:c r="H487" s="68"/>
      <x:c r="I487" s="68"/>
      <x:c r="J487" s="68"/>
      <x:c r="K487" s="68"/>
      <x:c r="L487" s="68"/>
      <x:c r="M487" s="68"/>
      <x:c r="N487" s="68"/>
      <x:c r="O487" s="68"/>
      <x:c r="P487" s="68"/>
      <x:c r="Q487" s="68"/>
      <x:c r="R487" s="68"/>
      <x:c r="S487" s="68"/>
      <x:c r="T487" s="68"/>
      <x:c r="U487" s="68"/>
      <x:c r="V487" s="68"/>
      <x:c r="W487" s="68"/>
      <x:c r="X487" s="68"/>
      <x:c r="Y487" s="68"/>
      <x:c r="Z487" s="68"/>
    </x:row>
    <x:row r="488">
      <x:c r="A488" s="68"/>
      <x:c r="B488" s="68"/>
      <x:c r="C488" s="68"/>
      <x:c r="D488" s="68"/>
      <x:c r="E488" s="68"/>
      <x:c r="F488" s="68"/>
      <x:c r="G488" s="68"/>
      <x:c r="H488" s="68"/>
      <x:c r="I488" s="68"/>
      <x:c r="J488" s="68"/>
      <x:c r="K488" s="68"/>
      <x:c r="L488" s="68"/>
      <x:c r="M488" s="68"/>
      <x:c r="N488" s="68"/>
      <x:c r="O488" s="68"/>
      <x:c r="P488" s="68"/>
      <x:c r="Q488" s="68"/>
      <x:c r="R488" s="68"/>
      <x:c r="S488" s="68"/>
      <x:c r="T488" s="68"/>
      <x:c r="U488" s="68"/>
      <x:c r="V488" s="68"/>
      <x:c r="W488" s="68"/>
      <x:c r="X488" s="68"/>
      <x:c r="Y488" s="68"/>
      <x:c r="Z488" s="68"/>
    </x:row>
    <x:row r="489">
      <x:c r="A489" s="68"/>
      <x:c r="B489" s="68"/>
      <x:c r="C489" s="68"/>
      <x:c r="D489" s="68"/>
      <x:c r="E489" s="68"/>
      <x:c r="F489" s="68"/>
      <x:c r="G489" s="68"/>
      <x:c r="H489" s="68"/>
      <x:c r="I489" s="68"/>
      <x:c r="J489" s="68"/>
      <x:c r="K489" s="68"/>
      <x:c r="L489" s="68"/>
      <x:c r="M489" s="68"/>
      <x:c r="N489" s="68"/>
      <x:c r="O489" s="68"/>
      <x:c r="P489" s="68"/>
      <x:c r="Q489" s="68"/>
      <x:c r="R489" s="68"/>
      <x:c r="S489" s="68"/>
      <x:c r="T489" s="68"/>
      <x:c r="U489" s="68"/>
      <x:c r="V489" s="68"/>
      <x:c r="W489" s="68"/>
      <x:c r="X489" s="68"/>
      <x:c r="Y489" s="68"/>
      <x:c r="Z489" s="68"/>
    </x:row>
    <x:row r="490">
      <x:c r="A490" s="68"/>
      <x:c r="B490" s="68"/>
      <x:c r="C490" s="68"/>
      <x:c r="D490" s="68"/>
      <x:c r="E490" s="68"/>
      <x:c r="F490" s="68"/>
      <x:c r="G490" s="68"/>
      <x:c r="H490" s="68"/>
      <x:c r="I490" s="68"/>
      <x:c r="J490" s="68"/>
      <x:c r="K490" s="68"/>
      <x:c r="L490" s="68"/>
      <x:c r="M490" s="68"/>
      <x:c r="N490" s="68"/>
      <x:c r="O490" s="68"/>
      <x:c r="P490" s="68"/>
      <x:c r="Q490" s="68"/>
      <x:c r="R490" s="68"/>
      <x:c r="S490" s="68"/>
      <x:c r="T490" s="68"/>
      <x:c r="U490" s="68"/>
      <x:c r="V490" s="68"/>
      <x:c r="W490" s="68"/>
      <x:c r="X490" s="68"/>
      <x:c r="Y490" s="68"/>
      <x:c r="Z490" s="68"/>
    </x:row>
    <x:row r="491">
      <x:c r="A491" s="68"/>
      <x:c r="B491" s="68"/>
      <x:c r="C491" s="68"/>
      <x:c r="D491" s="68"/>
      <x:c r="E491" s="68"/>
      <x:c r="F491" s="68"/>
      <x:c r="G491" s="68"/>
      <x:c r="H491" s="68"/>
      <x:c r="I491" s="68"/>
      <x:c r="J491" s="68"/>
      <x:c r="K491" s="68"/>
      <x:c r="L491" s="68"/>
      <x:c r="M491" s="68"/>
      <x:c r="N491" s="68"/>
      <x:c r="O491" s="68"/>
      <x:c r="P491" s="68"/>
      <x:c r="Q491" s="68"/>
      <x:c r="R491" s="68"/>
      <x:c r="S491" s="68"/>
      <x:c r="T491" s="68"/>
      <x:c r="U491" s="68"/>
      <x:c r="V491" s="68"/>
      <x:c r="W491" s="68"/>
      <x:c r="X491" s="68"/>
      <x:c r="Y491" s="68"/>
      <x:c r="Z491" s="68"/>
    </x:row>
    <x:row r="492">
      <x:c r="A492" s="68"/>
      <x:c r="B492" s="68"/>
      <x:c r="C492" s="68"/>
      <x:c r="D492" s="68"/>
      <x:c r="E492" s="68"/>
      <x:c r="F492" s="68"/>
      <x:c r="G492" s="68"/>
      <x:c r="H492" s="68"/>
      <x:c r="I492" s="68"/>
      <x:c r="J492" s="68"/>
      <x:c r="K492" s="68"/>
      <x:c r="L492" s="68"/>
      <x:c r="M492" s="68"/>
      <x:c r="N492" s="68"/>
      <x:c r="O492" s="68"/>
      <x:c r="P492" s="68"/>
      <x:c r="Q492" s="68"/>
      <x:c r="R492" s="68"/>
      <x:c r="S492" s="68"/>
      <x:c r="T492" s="68"/>
      <x:c r="U492" s="68"/>
      <x:c r="V492" s="68"/>
      <x:c r="W492" s="68"/>
      <x:c r="X492" s="68"/>
      <x:c r="Y492" s="68"/>
      <x:c r="Z492" s="68"/>
    </x:row>
    <x:row r="493">
      <x:c r="A493" s="68"/>
      <x:c r="B493" s="68"/>
      <x:c r="C493" s="68"/>
      <x:c r="D493" s="68"/>
      <x:c r="E493" s="68"/>
      <x:c r="F493" s="68"/>
      <x:c r="G493" s="68"/>
      <x:c r="H493" s="68"/>
      <x:c r="I493" s="68"/>
      <x:c r="J493" s="68"/>
      <x:c r="K493" s="68"/>
      <x:c r="L493" s="68"/>
      <x:c r="M493" s="68"/>
      <x:c r="N493" s="68"/>
      <x:c r="O493" s="68"/>
      <x:c r="P493" s="68"/>
      <x:c r="Q493" s="68"/>
      <x:c r="R493" s="68"/>
      <x:c r="S493" s="68"/>
      <x:c r="T493" s="68"/>
      <x:c r="U493" s="68"/>
      <x:c r="V493" s="68"/>
      <x:c r="W493" s="68"/>
      <x:c r="X493" s="68"/>
      <x:c r="Y493" s="68"/>
      <x:c r="Z493" s="68"/>
    </x:row>
    <x:row r="494">
      <x:c r="A494" s="68"/>
      <x:c r="B494" s="68"/>
      <x:c r="C494" s="68"/>
      <x:c r="D494" s="68"/>
      <x:c r="E494" s="68"/>
      <x:c r="F494" s="68"/>
      <x:c r="G494" s="68"/>
      <x:c r="H494" s="68"/>
      <x:c r="I494" s="68"/>
      <x:c r="J494" s="68"/>
      <x:c r="K494" s="68"/>
      <x:c r="L494" s="68"/>
      <x:c r="M494" s="68"/>
      <x:c r="N494" s="68"/>
      <x:c r="O494" s="68"/>
      <x:c r="P494" s="68"/>
      <x:c r="Q494" s="68"/>
      <x:c r="R494" s="68"/>
      <x:c r="S494" s="68"/>
      <x:c r="T494" s="68"/>
      <x:c r="U494" s="68"/>
      <x:c r="V494" s="68"/>
      <x:c r="W494" s="68"/>
      <x:c r="X494" s="68"/>
      <x:c r="Y494" s="68"/>
      <x:c r="Z494" s="68"/>
    </x:row>
    <x:row r="495">
      <x:c r="A495" s="68"/>
      <x:c r="B495" s="68"/>
      <x:c r="C495" s="68"/>
      <x:c r="D495" s="68"/>
      <x:c r="E495" s="68"/>
      <x:c r="F495" s="68"/>
      <x:c r="G495" s="68"/>
      <x:c r="H495" s="68"/>
      <x:c r="I495" s="68"/>
      <x:c r="J495" s="68"/>
      <x:c r="K495" s="68"/>
      <x:c r="L495" s="68"/>
      <x:c r="M495" s="68"/>
      <x:c r="N495" s="68"/>
      <x:c r="O495" s="68"/>
      <x:c r="P495" s="68"/>
      <x:c r="Q495" s="68"/>
      <x:c r="R495" s="68"/>
      <x:c r="S495" s="68"/>
      <x:c r="T495" s="68"/>
      <x:c r="U495" s="68"/>
      <x:c r="V495" s="68"/>
      <x:c r="W495" s="68"/>
      <x:c r="X495" s="68"/>
      <x:c r="Y495" s="68"/>
      <x:c r="Z495" s="68"/>
    </x:row>
    <x:row r="496">
      <x:c r="A496" s="68"/>
      <x:c r="B496" s="68"/>
      <x:c r="C496" s="68"/>
      <x:c r="D496" s="68"/>
      <x:c r="E496" s="68"/>
      <x:c r="F496" s="68"/>
      <x:c r="G496" s="68"/>
      <x:c r="H496" s="68"/>
      <x:c r="I496" s="68"/>
      <x:c r="J496" s="68"/>
      <x:c r="K496" s="68"/>
      <x:c r="L496" s="68"/>
      <x:c r="M496" s="68"/>
      <x:c r="N496" s="68"/>
      <x:c r="O496" s="68"/>
      <x:c r="P496" s="68"/>
      <x:c r="Q496" s="68"/>
      <x:c r="R496" s="68"/>
      <x:c r="S496" s="68"/>
      <x:c r="T496" s="68"/>
      <x:c r="U496" s="68"/>
      <x:c r="V496" s="68"/>
      <x:c r="W496" s="68"/>
      <x:c r="X496" s="68"/>
      <x:c r="Y496" s="68"/>
      <x:c r="Z496" s="68"/>
    </x:row>
    <x:row r="497">
      <x:c r="A497" s="68"/>
      <x:c r="B497" s="68"/>
      <x:c r="C497" s="68"/>
      <x:c r="D497" s="68"/>
      <x:c r="E497" s="68"/>
      <x:c r="F497" s="68"/>
      <x:c r="G497" s="68"/>
      <x:c r="H497" s="68"/>
      <x:c r="I497" s="68"/>
      <x:c r="J497" s="68"/>
      <x:c r="K497" s="68"/>
      <x:c r="L497" s="68"/>
      <x:c r="M497" s="68"/>
      <x:c r="N497" s="68"/>
      <x:c r="O497" s="68"/>
      <x:c r="P497" s="68"/>
      <x:c r="Q497" s="68"/>
      <x:c r="R497" s="68"/>
      <x:c r="S497" s="68"/>
      <x:c r="T497" s="68"/>
      <x:c r="U497" s="68"/>
      <x:c r="V497" s="68"/>
      <x:c r="W497" s="68"/>
      <x:c r="X497" s="68"/>
      <x:c r="Y497" s="68"/>
      <x:c r="Z497" s="68"/>
    </x:row>
    <x:row r="498">
      <x:c r="A498" s="68"/>
      <x:c r="B498" s="68"/>
      <x:c r="C498" s="68"/>
      <x:c r="D498" s="68"/>
      <x:c r="E498" s="68"/>
      <x:c r="F498" s="68"/>
      <x:c r="G498" s="68"/>
      <x:c r="H498" s="68"/>
      <x:c r="I498" s="68"/>
      <x:c r="J498" s="68"/>
      <x:c r="K498" s="68"/>
      <x:c r="L498" s="68"/>
      <x:c r="M498" s="68"/>
      <x:c r="N498" s="68"/>
      <x:c r="O498" s="68"/>
      <x:c r="P498" s="68"/>
      <x:c r="Q498" s="68"/>
      <x:c r="R498" s="68"/>
      <x:c r="S498" s="68"/>
      <x:c r="T498" s="68"/>
      <x:c r="U498" s="68"/>
      <x:c r="V498" s="68"/>
      <x:c r="W498" s="68"/>
      <x:c r="X498" s="68"/>
      <x:c r="Y498" s="68"/>
      <x:c r="Z498" s="68"/>
    </x:row>
    <x:row r="499">
      <x:c r="A499" s="68"/>
      <x:c r="B499" s="68"/>
      <x:c r="C499" s="68"/>
      <x:c r="D499" s="68"/>
      <x:c r="E499" s="68"/>
      <x:c r="F499" s="68"/>
      <x:c r="G499" s="68"/>
      <x:c r="H499" s="68"/>
      <x:c r="I499" s="68"/>
      <x:c r="J499" s="68"/>
      <x:c r="K499" s="68"/>
      <x:c r="L499" s="68"/>
      <x:c r="M499" s="68"/>
      <x:c r="N499" s="68"/>
      <x:c r="O499" s="68"/>
      <x:c r="P499" s="68"/>
      <x:c r="Q499" s="68"/>
      <x:c r="R499" s="68"/>
      <x:c r="S499" s="68"/>
      <x:c r="T499" s="68"/>
      <x:c r="U499" s="68"/>
      <x:c r="V499" s="68"/>
      <x:c r="W499" s="68"/>
      <x:c r="X499" s="68"/>
      <x:c r="Y499" s="68"/>
      <x:c r="Z499" s="68"/>
    </x:row>
    <x:row r="500">
      <x:c r="A500" s="68"/>
      <x:c r="B500" s="68"/>
      <x:c r="C500" s="68"/>
      <x:c r="D500" s="68"/>
      <x:c r="E500" s="68"/>
      <x:c r="F500" s="68"/>
      <x:c r="G500" s="68"/>
      <x:c r="H500" s="68"/>
      <x:c r="I500" s="68"/>
      <x:c r="J500" s="68"/>
      <x:c r="K500" s="68"/>
      <x:c r="L500" s="68"/>
      <x:c r="M500" s="68"/>
      <x:c r="N500" s="68"/>
      <x:c r="O500" s="68"/>
      <x:c r="P500" s="68"/>
      <x:c r="Q500" s="68"/>
      <x:c r="R500" s="68"/>
      <x:c r="S500" s="68"/>
      <x:c r="T500" s="68"/>
      <x:c r="U500" s="68"/>
      <x:c r="V500" s="68"/>
      <x:c r="W500" s="68"/>
      <x:c r="X500" s="68"/>
      <x:c r="Y500" s="68"/>
      <x:c r="Z500" s="68"/>
    </x:row>
  </x:sheetData>
  <x:mergeCells>
    <x:mergeCell ref="A1:H1"/>
    <x:mergeCell ref="A20:H20"/>
  </x:mergeCells>
  <x:pageMargins left="0.7" right="0.7" top="0.75" bottom="0.75" header="0.3" footer="0.3"/>
</x:worksheet>
</file>